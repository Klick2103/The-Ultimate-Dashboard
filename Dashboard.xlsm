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charts/chart5.xml" ContentType="application/vnd.openxmlformats-officedocument.drawingml.chart+xml"/>
  <Override PartName="/xl/drawings/drawing4.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pivotTables/pivotTable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pivotTables/pivotTable6.xml" ContentType="application/vnd.openxmlformats-officedocument.spreadsheetml.pivotTable+xml"/>
  <Override PartName="/xl/drawings/drawing8.xml" ContentType="application/vnd.openxmlformats-officedocument.drawing+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9.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updateLinks="never" codeName="ThisWorkbook"/>
  <mc:AlternateContent xmlns:mc="http://schemas.openxmlformats.org/markup-compatibility/2006">
    <mc:Choice Requires="x15">
      <x15ac:absPath xmlns:x15ac="http://schemas.microsoft.com/office/spreadsheetml/2010/11/ac" url="C:\Users\Admin\Desktop\Dashboard\"/>
    </mc:Choice>
  </mc:AlternateContent>
  <xr:revisionPtr revIDLastSave="0" documentId="13_ncr:1_{09040215-BB09-435F-B89B-25B1BBCC6468}" xr6:coauthVersionLast="47" xr6:coauthVersionMax="47" xr10:uidLastSave="{00000000-0000-0000-0000-000000000000}"/>
  <bookViews>
    <workbookView showHorizontalScroll="0" showVerticalScroll="0" showSheetTabs="0" xWindow="-108" yWindow="-108" windowWidth="23256" windowHeight="12456" xr2:uid="{00000000-000D-0000-FFFF-FFFF00000000}"/>
  </bookViews>
  <sheets>
    <sheet name="Dashboard" sheetId="11" r:id="rId1"/>
    <sheet name="Consolidated" sheetId="8" r:id="rId2"/>
    <sheet name="Report (Partner)" sheetId="24" r:id="rId3"/>
    <sheet name="Pivot6 (overall Numbers)" sheetId="18" state="veryHidden" r:id="rId4"/>
    <sheet name="Pivot 3(Line chart)" sheetId="14" state="veryHidden" r:id="rId5"/>
    <sheet name="Data validation" sheetId="9" state="veryHidden" r:id="rId6"/>
    <sheet name="Pivot 1(Slicer)" sheetId="10" state="veryHidden" r:id="rId7"/>
    <sheet name="Pivot 2(Completion Status)" sheetId="13" state="veryHidden" r:id="rId8"/>
    <sheet name="Logs" sheetId="19" state="veryHidden" r:id="rId9"/>
    <sheet name="Pivot 4(other data)" sheetId="16" state="veryHidden" r:id="rId10"/>
    <sheet name="Pivot 5(Client summary)" sheetId="17" state="veryHidden" r:id="rId11"/>
  </sheets>
  <functionGroups builtInGroupCount="19"/>
  <definedNames>
    <definedName name="_xlnm._FilterDatabase" localSheetId="1" hidden="1">Consolidated!$A$5:$P$142</definedName>
    <definedName name="_xlnm._FilterDatabase" localSheetId="8" hidden="1">Logs!$A$1:$C$1</definedName>
    <definedName name="ExternalData_1" localSheetId="1" hidden="1">Consolidated!$A$5:$P$126</definedName>
    <definedName name="_xlnm.Print_Area" localSheetId="2">'Report (Partner)'!$A$1:$K$51</definedName>
    <definedName name="Slicer_Audit_co_ordinator">#N/A</definedName>
    <definedName name="Slicer_Client_Name">#N/A</definedName>
    <definedName name="Slicer_Partner">#N/A</definedName>
    <definedName name="Slicer_Priority">#N/A</definedName>
    <definedName name="Slicer_Status">#N/A</definedName>
    <definedName name="Slicer_Year_End">#N/A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E21" i="11" l="1"/>
  <c r="AE19" i="11"/>
  <c r="AE18" i="11"/>
  <c r="AE17" i="11"/>
  <c r="AE16" i="11"/>
  <c r="AE15" i="11"/>
  <c r="R13" i="14"/>
  <c r="Q13" i="14"/>
  <c r="P13" i="14"/>
  <c r="G7" i="13"/>
  <c r="G6" i="13"/>
  <c r="G5" i="13"/>
  <c r="G4" i="13"/>
  <c r="AY133" i="14"/>
  <c r="AX133" i="14"/>
  <c r="AW133" i="14"/>
  <c r="AV133" i="14"/>
  <c r="AU133" i="14"/>
  <c r="AT133" i="14"/>
  <c r="AS133" i="14"/>
  <c r="AR133" i="14"/>
  <c r="AQ133" i="14"/>
  <c r="AY132" i="14"/>
  <c r="AX132" i="14"/>
  <c r="AW132" i="14"/>
  <c r="AV132" i="14"/>
  <c r="AU132" i="14"/>
  <c r="AT132" i="14"/>
  <c r="AS132" i="14"/>
  <c r="AR132" i="14"/>
  <c r="AQ132" i="14"/>
  <c r="AY131" i="14"/>
  <c r="AX131" i="14"/>
  <c r="AW131" i="14"/>
  <c r="AV131" i="14"/>
  <c r="AU131" i="14"/>
  <c r="AT131" i="14"/>
  <c r="AS131" i="14"/>
  <c r="AR131" i="14"/>
  <c r="AQ131" i="14"/>
  <c r="AY130" i="14"/>
  <c r="AX130" i="14"/>
  <c r="AW130" i="14"/>
  <c r="AV130" i="14"/>
  <c r="AU130" i="14"/>
  <c r="AT130" i="14"/>
  <c r="AS130" i="14"/>
  <c r="AR130" i="14"/>
  <c r="AQ130" i="14"/>
  <c r="AO133" i="14"/>
  <c r="AN133" i="14"/>
  <c r="AM133" i="14"/>
  <c r="AL133" i="14"/>
  <c r="AK133" i="14"/>
  <c r="AJ133" i="14"/>
  <c r="AI133" i="14"/>
  <c r="AH133" i="14"/>
  <c r="AG133" i="14"/>
  <c r="AO132" i="14"/>
  <c r="AN132" i="14"/>
  <c r="AM132" i="14"/>
  <c r="AL132" i="14"/>
  <c r="AK132" i="14"/>
  <c r="AJ132" i="14"/>
  <c r="AI132" i="14"/>
  <c r="AH132" i="14"/>
  <c r="AG132" i="14"/>
  <c r="AO131" i="14"/>
  <c r="AN131" i="14"/>
  <c r="AM131" i="14"/>
  <c r="AL131" i="14"/>
  <c r="AK131" i="14"/>
  <c r="AJ131" i="14"/>
  <c r="AI131" i="14"/>
  <c r="AH131" i="14"/>
  <c r="AG131" i="14"/>
  <c r="AO130" i="14"/>
  <c r="AN130" i="14"/>
  <c r="AM130" i="14"/>
  <c r="AL130" i="14"/>
  <c r="AK130" i="14"/>
  <c r="AJ130" i="14"/>
  <c r="AI130" i="14"/>
  <c r="AH130" i="14"/>
  <c r="AG130" i="14"/>
  <c r="AE133" i="14"/>
  <c r="AD133" i="14"/>
  <c r="AC133" i="14"/>
  <c r="AB133" i="14"/>
  <c r="AA133" i="14"/>
  <c r="Z133" i="14"/>
  <c r="Y133" i="14"/>
  <c r="X133" i="14"/>
  <c r="W133" i="14"/>
  <c r="AE132" i="14"/>
  <c r="AD132" i="14"/>
  <c r="AC132" i="14"/>
  <c r="AB132" i="14"/>
  <c r="AA132" i="14"/>
  <c r="Z132" i="14"/>
  <c r="Y132" i="14"/>
  <c r="X132" i="14"/>
  <c r="W132" i="14"/>
  <c r="AE131" i="14"/>
  <c r="AD131" i="14"/>
  <c r="AC131" i="14"/>
  <c r="AB131" i="14"/>
  <c r="AA131" i="14"/>
  <c r="Z131" i="14"/>
  <c r="Y131" i="14"/>
  <c r="X131" i="14"/>
  <c r="W131" i="14"/>
  <c r="AE130" i="14"/>
  <c r="AD130" i="14"/>
  <c r="AC130" i="14"/>
  <c r="AB130" i="14"/>
  <c r="AA130" i="14"/>
  <c r="Z130" i="14"/>
  <c r="Y130" i="14"/>
  <c r="X130" i="14"/>
  <c r="W130" i="14"/>
  <c r="W129" i="14"/>
  <c r="R17" i="14"/>
  <c r="Q17" i="14"/>
  <c r="P17" i="14"/>
  <c r="R15" i="14"/>
  <c r="Q15" i="14"/>
  <c r="P15" i="14"/>
  <c r="P14" i="14"/>
  <c r="Q14" i="14"/>
  <c r="R14" i="14"/>
  <c r="F7" i="18"/>
  <c r="F6" i="18"/>
  <c r="F5" i="18"/>
  <c r="F4" i="18"/>
  <c r="R1" i="11"/>
  <c r="Z43" i="24" l="1"/>
  <c r="Z36" i="24"/>
  <c r="Z28" i="24"/>
  <c r="Z42" i="24"/>
  <c r="Z35" i="24"/>
  <c r="Z27" i="24"/>
  <c r="G8" i="13" l="1"/>
  <c r="D9" i="24"/>
  <c r="D8" i="24"/>
  <c r="J9" i="14" l="1"/>
  <c r="J8" i="14"/>
  <c r="J7" i="14"/>
  <c r="J6" i="14"/>
  <c r="J5" i="14"/>
  <c r="J4" i="14"/>
  <c r="J3" i="14"/>
  <c r="G9" i="14"/>
  <c r="G8" i="14"/>
  <c r="G7" i="14"/>
  <c r="G6" i="14"/>
  <c r="G5" i="14"/>
  <c r="G4" i="14"/>
  <c r="G3" i="14"/>
  <c r="D9" i="14"/>
  <c r="D8" i="14"/>
  <c r="D7" i="14"/>
  <c r="D5" i="14"/>
  <c r="D4" i="14"/>
  <c r="D3" i="14"/>
  <c r="D6" i="14"/>
  <c r="R2" i="11"/>
  <c r="J2" i="14" l="1"/>
  <c r="G2" i="14"/>
  <c r="D2" i="14"/>
  <c r="C3" i="14"/>
  <c r="C2" i="14"/>
  <c r="C1" i="14"/>
  <c r="AY129" i="14" l="1"/>
  <c r="AX129" i="14"/>
  <c r="AW129" i="14"/>
  <c r="AY128" i="14"/>
  <c r="AX128" i="14"/>
  <c r="AW128" i="14"/>
  <c r="AY127" i="14"/>
  <c r="AX127" i="14"/>
  <c r="AW127" i="14"/>
  <c r="AY126" i="14"/>
  <c r="AX126" i="14"/>
  <c r="AW126" i="14"/>
  <c r="AY125" i="14"/>
  <c r="AX125" i="14"/>
  <c r="AW125" i="14"/>
  <c r="AY124" i="14"/>
  <c r="AX124" i="14"/>
  <c r="AW124" i="14"/>
  <c r="AY123" i="14"/>
  <c r="AX123" i="14"/>
  <c r="AW123" i="14"/>
  <c r="AY122" i="14"/>
  <c r="AX122" i="14"/>
  <c r="AW122" i="14"/>
  <c r="AY121" i="14"/>
  <c r="AX121" i="14"/>
  <c r="AW121" i="14"/>
  <c r="AY120" i="14"/>
  <c r="AX120" i="14"/>
  <c r="AW120" i="14"/>
  <c r="AY119" i="14"/>
  <c r="AX119" i="14"/>
  <c r="AW119" i="14"/>
  <c r="AY118" i="14"/>
  <c r="AX118" i="14"/>
  <c r="AW118" i="14"/>
  <c r="AY117" i="14"/>
  <c r="AX117" i="14"/>
  <c r="AW117" i="14"/>
  <c r="AY116" i="14"/>
  <c r="AX116" i="14"/>
  <c r="AW116" i="14"/>
  <c r="AY115" i="14"/>
  <c r="AX115" i="14"/>
  <c r="AW115" i="14"/>
  <c r="AY114" i="14"/>
  <c r="AX114" i="14"/>
  <c r="AW114" i="14"/>
  <c r="AY113" i="14"/>
  <c r="AX113" i="14"/>
  <c r="AW113" i="14"/>
  <c r="AY112" i="14"/>
  <c r="AX112" i="14"/>
  <c r="AW112" i="14"/>
  <c r="AY111" i="14"/>
  <c r="AX111" i="14"/>
  <c r="AW111" i="14"/>
  <c r="AY110" i="14"/>
  <c r="AX110" i="14"/>
  <c r="AW110" i="14"/>
  <c r="AY109" i="14"/>
  <c r="AX109" i="14"/>
  <c r="AW109" i="14"/>
  <c r="AY108" i="14"/>
  <c r="AX108" i="14"/>
  <c r="AW108" i="14"/>
  <c r="AY107" i="14"/>
  <c r="AX107" i="14"/>
  <c r="AW107" i="14"/>
  <c r="AY106" i="14"/>
  <c r="AX106" i="14"/>
  <c r="AW106" i="14"/>
  <c r="AY105" i="14"/>
  <c r="AX105" i="14"/>
  <c r="AW105" i="14"/>
  <c r="AY104" i="14"/>
  <c r="AX104" i="14"/>
  <c r="AW104" i="14"/>
  <c r="AY103" i="14"/>
  <c r="AX103" i="14"/>
  <c r="AW103" i="14"/>
  <c r="AY102" i="14"/>
  <c r="AX102" i="14"/>
  <c r="AW102" i="14"/>
  <c r="AY101" i="14"/>
  <c r="AX101" i="14"/>
  <c r="AW101" i="14"/>
  <c r="AY100" i="14"/>
  <c r="AX100" i="14"/>
  <c r="AW100" i="14"/>
  <c r="AY99" i="14"/>
  <c r="AX99" i="14"/>
  <c r="AW99" i="14"/>
  <c r="AY98" i="14"/>
  <c r="AX98" i="14"/>
  <c r="AW98" i="14"/>
  <c r="AY97" i="14"/>
  <c r="AX97" i="14"/>
  <c r="AW97" i="14"/>
  <c r="AY96" i="14"/>
  <c r="AX96" i="14"/>
  <c r="AW96" i="14"/>
  <c r="AY95" i="14"/>
  <c r="AX95" i="14"/>
  <c r="AW95" i="14"/>
  <c r="AY94" i="14"/>
  <c r="AX94" i="14"/>
  <c r="AW94" i="14"/>
  <c r="AY93" i="14"/>
  <c r="AX93" i="14"/>
  <c r="AW93" i="14"/>
  <c r="AY92" i="14"/>
  <c r="AX92" i="14"/>
  <c r="AW92" i="14"/>
  <c r="AY91" i="14"/>
  <c r="AX91" i="14"/>
  <c r="AW91" i="14"/>
  <c r="AY90" i="14"/>
  <c r="AX90" i="14"/>
  <c r="AW90" i="14"/>
  <c r="AY89" i="14"/>
  <c r="AX89" i="14"/>
  <c r="AW89" i="14"/>
  <c r="AY88" i="14"/>
  <c r="AX88" i="14"/>
  <c r="AW88" i="14"/>
  <c r="AY87" i="14"/>
  <c r="AX87" i="14"/>
  <c r="AW87" i="14"/>
  <c r="AY86" i="14"/>
  <c r="AX86" i="14"/>
  <c r="AW86" i="14"/>
  <c r="AY85" i="14"/>
  <c r="AX85" i="14"/>
  <c r="AW85" i="14"/>
  <c r="AY84" i="14"/>
  <c r="AX84" i="14"/>
  <c r="AW84" i="14"/>
  <c r="AY83" i="14"/>
  <c r="AX83" i="14"/>
  <c r="AW83" i="14"/>
  <c r="AY82" i="14"/>
  <c r="AX82" i="14"/>
  <c r="AW82" i="14"/>
  <c r="AY81" i="14"/>
  <c r="AX81" i="14"/>
  <c r="AW81" i="14"/>
  <c r="AY80" i="14"/>
  <c r="AX80" i="14"/>
  <c r="AW80" i="14"/>
  <c r="AY79" i="14"/>
  <c r="AX79" i="14"/>
  <c r="AW79" i="14"/>
  <c r="AY78" i="14"/>
  <c r="AX78" i="14"/>
  <c r="AW78" i="14"/>
  <c r="AY77" i="14"/>
  <c r="AX77" i="14"/>
  <c r="AW77" i="14"/>
  <c r="AY76" i="14"/>
  <c r="AX76" i="14"/>
  <c r="AW76" i="14"/>
  <c r="AY75" i="14"/>
  <c r="AX75" i="14"/>
  <c r="AW75" i="14"/>
  <c r="AY74" i="14"/>
  <c r="AX74" i="14"/>
  <c r="AW74" i="14"/>
  <c r="AY73" i="14"/>
  <c r="AX73" i="14"/>
  <c r="AW73" i="14"/>
  <c r="AY72" i="14"/>
  <c r="AX72" i="14"/>
  <c r="AW72" i="14"/>
  <c r="AY71" i="14"/>
  <c r="AX71" i="14"/>
  <c r="AW71" i="14"/>
  <c r="AY70" i="14"/>
  <c r="AX70" i="14"/>
  <c r="AW70" i="14"/>
  <c r="AY69" i="14"/>
  <c r="AX69" i="14"/>
  <c r="AW69" i="14"/>
  <c r="AY68" i="14"/>
  <c r="AX68" i="14"/>
  <c r="AW68" i="14"/>
  <c r="AY67" i="14"/>
  <c r="AX67" i="14"/>
  <c r="AW67" i="14"/>
  <c r="AY66" i="14"/>
  <c r="AX66" i="14"/>
  <c r="AW66" i="14"/>
  <c r="AY65" i="14"/>
  <c r="AX65" i="14"/>
  <c r="AW65" i="14"/>
  <c r="AY64" i="14"/>
  <c r="AX64" i="14"/>
  <c r="AW64" i="14"/>
  <c r="AY63" i="14"/>
  <c r="AX63" i="14"/>
  <c r="AW63" i="14"/>
  <c r="AY62" i="14"/>
  <c r="AX62" i="14"/>
  <c r="AW62" i="14"/>
  <c r="AY61" i="14"/>
  <c r="AX61" i="14"/>
  <c r="AW61" i="14"/>
  <c r="AY60" i="14"/>
  <c r="AX60" i="14"/>
  <c r="AW60" i="14"/>
  <c r="AY59" i="14"/>
  <c r="AX59" i="14"/>
  <c r="AW59" i="14"/>
  <c r="AY58" i="14"/>
  <c r="AX58" i="14"/>
  <c r="AW58" i="14"/>
  <c r="AY57" i="14"/>
  <c r="AX57" i="14"/>
  <c r="AW57" i="14"/>
  <c r="AY56" i="14"/>
  <c r="AX56" i="14"/>
  <c r="AW56" i="14"/>
  <c r="AY55" i="14"/>
  <c r="AX55" i="14"/>
  <c r="AW55" i="14"/>
  <c r="AY54" i="14"/>
  <c r="AX54" i="14"/>
  <c r="AW54" i="14"/>
  <c r="AY53" i="14"/>
  <c r="AX53" i="14"/>
  <c r="AW53" i="14"/>
  <c r="AY52" i="14"/>
  <c r="AX52" i="14"/>
  <c r="AW52" i="14"/>
  <c r="AY51" i="14"/>
  <c r="AX51" i="14"/>
  <c r="AW51" i="14"/>
  <c r="AY50" i="14"/>
  <c r="AX50" i="14"/>
  <c r="AW50" i="14"/>
  <c r="AY49" i="14"/>
  <c r="AX49" i="14"/>
  <c r="AW49" i="14"/>
  <c r="AY48" i="14"/>
  <c r="AX48" i="14"/>
  <c r="AW48" i="14"/>
  <c r="AY47" i="14"/>
  <c r="AX47" i="14"/>
  <c r="AW47" i="14"/>
  <c r="AY46" i="14"/>
  <c r="AX46" i="14"/>
  <c r="AW46" i="14"/>
  <c r="AY45" i="14"/>
  <c r="AX45" i="14"/>
  <c r="AW45" i="14"/>
  <c r="AY44" i="14"/>
  <c r="AX44" i="14"/>
  <c r="AW44" i="14"/>
  <c r="AY43" i="14"/>
  <c r="AX43" i="14"/>
  <c r="AW43" i="14"/>
  <c r="AY42" i="14"/>
  <c r="AX42" i="14"/>
  <c r="AW42" i="14"/>
  <c r="AY41" i="14"/>
  <c r="AX41" i="14"/>
  <c r="AW41" i="14"/>
  <c r="AY40" i="14"/>
  <c r="AX40" i="14"/>
  <c r="AW40" i="14"/>
  <c r="AY39" i="14"/>
  <c r="AX39" i="14"/>
  <c r="AW39" i="14"/>
  <c r="AY38" i="14"/>
  <c r="AX38" i="14"/>
  <c r="AW38" i="14"/>
  <c r="AY37" i="14"/>
  <c r="AX37" i="14"/>
  <c r="AW37" i="14"/>
  <c r="AY36" i="14"/>
  <c r="AX36" i="14"/>
  <c r="AW36" i="14"/>
  <c r="AY35" i="14"/>
  <c r="AX35" i="14"/>
  <c r="AW35" i="14"/>
  <c r="AY34" i="14"/>
  <c r="AX34" i="14"/>
  <c r="AW34" i="14"/>
  <c r="AY33" i="14"/>
  <c r="AX33" i="14"/>
  <c r="AW33" i="14"/>
  <c r="AY32" i="14"/>
  <c r="AX32" i="14"/>
  <c r="AW32" i="14"/>
  <c r="AY31" i="14"/>
  <c r="AX31" i="14"/>
  <c r="AW31" i="14"/>
  <c r="AY30" i="14"/>
  <c r="AX30" i="14"/>
  <c r="AW30" i="14"/>
  <c r="AY29" i="14"/>
  <c r="AX29" i="14"/>
  <c r="AW29" i="14"/>
  <c r="AY28" i="14"/>
  <c r="AX28" i="14"/>
  <c r="AW28" i="14"/>
  <c r="AY27" i="14"/>
  <c r="AX27" i="14"/>
  <c r="AW27" i="14"/>
  <c r="AY26" i="14"/>
  <c r="AX26" i="14"/>
  <c r="AW26" i="14"/>
  <c r="AY25" i="14"/>
  <c r="AX25" i="14"/>
  <c r="AW25" i="14"/>
  <c r="AY24" i="14"/>
  <c r="AX24" i="14"/>
  <c r="AW24" i="14"/>
  <c r="AY23" i="14"/>
  <c r="AX23" i="14"/>
  <c r="AW23" i="14"/>
  <c r="AY22" i="14"/>
  <c r="AX22" i="14"/>
  <c r="AW22" i="14"/>
  <c r="AY21" i="14"/>
  <c r="AX21" i="14"/>
  <c r="AW21" i="14"/>
  <c r="AY20" i="14"/>
  <c r="AX20" i="14"/>
  <c r="AW20" i="14"/>
  <c r="AY19" i="14"/>
  <c r="AX19" i="14"/>
  <c r="AW19" i="14"/>
  <c r="AY18" i="14"/>
  <c r="AX18" i="14"/>
  <c r="AW18" i="14"/>
  <c r="AY17" i="14"/>
  <c r="AX17" i="14"/>
  <c r="AW17" i="14"/>
  <c r="AY16" i="14"/>
  <c r="AX16" i="14"/>
  <c r="AW16" i="14"/>
  <c r="AY15" i="14"/>
  <c r="AX15" i="14"/>
  <c r="AW15" i="14"/>
  <c r="AY14" i="14"/>
  <c r="AX14" i="14"/>
  <c r="AW14" i="14"/>
  <c r="AY13" i="14"/>
  <c r="AX13" i="14"/>
  <c r="AW13" i="14"/>
  <c r="AO129" i="14"/>
  <c r="AN129" i="14"/>
  <c r="AO128" i="14"/>
  <c r="AN128" i="14"/>
  <c r="AO127" i="14"/>
  <c r="AN127" i="14"/>
  <c r="AO126" i="14"/>
  <c r="AN126" i="14"/>
  <c r="AO125" i="14"/>
  <c r="AN125" i="14"/>
  <c r="AO124" i="14"/>
  <c r="AN124" i="14"/>
  <c r="AO123" i="14"/>
  <c r="AN123" i="14"/>
  <c r="AO122" i="14"/>
  <c r="AN122" i="14"/>
  <c r="AO121" i="14"/>
  <c r="AN121" i="14"/>
  <c r="AO120" i="14"/>
  <c r="AN120" i="14"/>
  <c r="AO119" i="14"/>
  <c r="AN119" i="14"/>
  <c r="AO118" i="14"/>
  <c r="AN118" i="14"/>
  <c r="AO117" i="14"/>
  <c r="AN117" i="14"/>
  <c r="AO116" i="14"/>
  <c r="AN116" i="14"/>
  <c r="AO115" i="14"/>
  <c r="AN115" i="14"/>
  <c r="AO114" i="14"/>
  <c r="AN114" i="14"/>
  <c r="AO113" i="14"/>
  <c r="AN113" i="14"/>
  <c r="AO112" i="14"/>
  <c r="AN112" i="14"/>
  <c r="AO111" i="14"/>
  <c r="AN111" i="14"/>
  <c r="AO110" i="14"/>
  <c r="AN110" i="14"/>
  <c r="AO109" i="14"/>
  <c r="AN109" i="14"/>
  <c r="AO108" i="14"/>
  <c r="AN108" i="14"/>
  <c r="AO107" i="14"/>
  <c r="AN107" i="14"/>
  <c r="AO106" i="14"/>
  <c r="AN106" i="14"/>
  <c r="AO105" i="14"/>
  <c r="AN105" i="14"/>
  <c r="AO104" i="14"/>
  <c r="AN104" i="14"/>
  <c r="AO103" i="14"/>
  <c r="AN103" i="14"/>
  <c r="AO102" i="14"/>
  <c r="AN102" i="14"/>
  <c r="AO101" i="14"/>
  <c r="AN101" i="14"/>
  <c r="AO100" i="14"/>
  <c r="AN100" i="14"/>
  <c r="AO99" i="14"/>
  <c r="AN99" i="14"/>
  <c r="AO98" i="14"/>
  <c r="AN98" i="14"/>
  <c r="AO97" i="14"/>
  <c r="AN97" i="14"/>
  <c r="AO96" i="14"/>
  <c r="AN96" i="14"/>
  <c r="AO95" i="14"/>
  <c r="AN95" i="14"/>
  <c r="AO94" i="14"/>
  <c r="AN94" i="14"/>
  <c r="AO93" i="14"/>
  <c r="AN93" i="14"/>
  <c r="AO92" i="14"/>
  <c r="AN92" i="14"/>
  <c r="AO91" i="14"/>
  <c r="AN91" i="14"/>
  <c r="AO90" i="14"/>
  <c r="AN90" i="14"/>
  <c r="AO89" i="14"/>
  <c r="AN89" i="14"/>
  <c r="AO88" i="14"/>
  <c r="AN88" i="14"/>
  <c r="AO87" i="14"/>
  <c r="AN87" i="14"/>
  <c r="AO86" i="14"/>
  <c r="AN86" i="14"/>
  <c r="AO85" i="14"/>
  <c r="AN85" i="14"/>
  <c r="AO84" i="14"/>
  <c r="AN84" i="14"/>
  <c r="AO83" i="14"/>
  <c r="AN83" i="14"/>
  <c r="AO82" i="14"/>
  <c r="AN82" i="14"/>
  <c r="AO81" i="14"/>
  <c r="AN81" i="14"/>
  <c r="AO80" i="14"/>
  <c r="AN80" i="14"/>
  <c r="AO79" i="14"/>
  <c r="AN79" i="14"/>
  <c r="AO78" i="14"/>
  <c r="AN78" i="14"/>
  <c r="AO77" i="14"/>
  <c r="AN77" i="14"/>
  <c r="AO76" i="14"/>
  <c r="AN76" i="14"/>
  <c r="AO75" i="14"/>
  <c r="AN75" i="14"/>
  <c r="AO74" i="14"/>
  <c r="AN74" i="14"/>
  <c r="AO73" i="14"/>
  <c r="AN73" i="14"/>
  <c r="AO72" i="14"/>
  <c r="AN72" i="14"/>
  <c r="AO71" i="14"/>
  <c r="AN71" i="14"/>
  <c r="AO70" i="14"/>
  <c r="AN70" i="14"/>
  <c r="AO69" i="14"/>
  <c r="AN69" i="14"/>
  <c r="AO68" i="14"/>
  <c r="AN68" i="14"/>
  <c r="AO67" i="14"/>
  <c r="AN67" i="14"/>
  <c r="AO66" i="14"/>
  <c r="AN66" i="14"/>
  <c r="AO65" i="14"/>
  <c r="AN65" i="14"/>
  <c r="AO64" i="14"/>
  <c r="AN64" i="14"/>
  <c r="AO63" i="14"/>
  <c r="AN63" i="14"/>
  <c r="AO62" i="14"/>
  <c r="AN62" i="14"/>
  <c r="AO61" i="14"/>
  <c r="AN61" i="14"/>
  <c r="AO60" i="14"/>
  <c r="AN60" i="14"/>
  <c r="AO59" i="14"/>
  <c r="AN59" i="14"/>
  <c r="AO58" i="14"/>
  <c r="AN58" i="14"/>
  <c r="AO57" i="14"/>
  <c r="AN57" i="14"/>
  <c r="AO56" i="14"/>
  <c r="AN56" i="14"/>
  <c r="AO55" i="14"/>
  <c r="AN55" i="14"/>
  <c r="AO54" i="14"/>
  <c r="AN54" i="14"/>
  <c r="AO53" i="14"/>
  <c r="AN53" i="14"/>
  <c r="AO52" i="14"/>
  <c r="AN52" i="14"/>
  <c r="AO51" i="14"/>
  <c r="AN51" i="14"/>
  <c r="AO50" i="14"/>
  <c r="AN50" i="14"/>
  <c r="AO49" i="14"/>
  <c r="AN49" i="14"/>
  <c r="AO48" i="14"/>
  <c r="AN48" i="14"/>
  <c r="AO47" i="14"/>
  <c r="AN47" i="14"/>
  <c r="AO46" i="14"/>
  <c r="AN46" i="14"/>
  <c r="AO45" i="14"/>
  <c r="AN45" i="14"/>
  <c r="AO44" i="14"/>
  <c r="AN44" i="14"/>
  <c r="AO43" i="14"/>
  <c r="AN43" i="14"/>
  <c r="AO42" i="14"/>
  <c r="AN42" i="14"/>
  <c r="AO41" i="14"/>
  <c r="AN41" i="14"/>
  <c r="AO40" i="14"/>
  <c r="AN40" i="14"/>
  <c r="AO39" i="14"/>
  <c r="AN39" i="14"/>
  <c r="AO38" i="14"/>
  <c r="AN38" i="14"/>
  <c r="AO37" i="14"/>
  <c r="AN37" i="14"/>
  <c r="AO36" i="14"/>
  <c r="AN36" i="14"/>
  <c r="AO35" i="14"/>
  <c r="AN35" i="14"/>
  <c r="AO34" i="14"/>
  <c r="AN34" i="14"/>
  <c r="AO33" i="14"/>
  <c r="AN33" i="14"/>
  <c r="AO32" i="14"/>
  <c r="AN32" i="14"/>
  <c r="AO31" i="14"/>
  <c r="AN31" i="14"/>
  <c r="AO30" i="14"/>
  <c r="AN30" i="14"/>
  <c r="AO29" i="14"/>
  <c r="AN29" i="14"/>
  <c r="AO28" i="14"/>
  <c r="AN28" i="14"/>
  <c r="AO27" i="14"/>
  <c r="AN27" i="14"/>
  <c r="AO26" i="14"/>
  <c r="AN26" i="14"/>
  <c r="AO25" i="14"/>
  <c r="AN25" i="14"/>
  <c r="AO24" i="14"/>
  <c r="AN24" i="14"/>
  <c r="AO23" i="14"/>
  <c r="AN23" i="14"/>
  <c r="AO22" i="14"/>
  <c r="AN22" i="14"/>
  <c r="AO21" i="14"/>
  <c r="AN21" i="14"/>
  <c r="AO20" i="14"/>
  <c r="AN20" i="14"/>
  <c r="AO19" i="14"/>
  <c r="AN19" i="14"/>
  <c r="AO18" i="14"/>
  <c r="AN18" i="14"/>
  <c r="AO17" i="14"/>
  <c r="AN17" i="14"/>
  <c r="AO16" i="14"/>
  <c r="AN16" i="14"/>
  <c r="AO15" i="14"/>
  <c r="AN15" i="14"/>
  <c r="AO14" i="14"/>
  <c r="AN14" i="14"/>
  <c r="AO13" i="14"/>
  <c r="AN13" i="14"/>
  <c r="AE129" i="14"/>
  <c r="AE128" i="14"/>
  <c r="AE127" i="14"/>
  <c r="AE126" i="14"/>
  <c r="AE125" i="14"/>
  <c r="AE124" i="14"/>
  <c r="AE123" i="14"/>
  <c r="AE122" i="14"/>
  <c r="AE121" i="14"/>
  <c r="AE120" i="14"/>
  <c r="AE119" i="14"/>
  <c r="AE118" i="14"/>
  <c r="AE117" i="14"/>
  <c r="AE116" i="14"/>
  <c r="AE115" i="14"/>
  <c r="AE114" i="14"/>
  <c r="AE113" i="14"/>
  <c r="AE112" i="14"/>
  <c r="AE111" i="14"/>
  <c r="AE110" i="14"/>
  <c r="AE109" i="14"/>
  <c r="AE108" i="14"/>
  <c r="AE107" i="14"/>
  <c r="AE106" i="14"/>
  <c r="AE105" i="14"/>
  <c r="AE104" i="14"/>
  <c r="AE103" i="14"/>
  <c r="AE102" i="14"/>
  <c r="AE101" i="14"/>
  <c r="AE100" i="14"/>
  <c r="AE99" i="14"/>
  <c r="AE98" i="14"/>
  <c r="AE97" i="14"/>
  <c r="AE96" i="14"/>
  <c r="AE95" i="14"/>
  <c r="AE94" i="14"/>
  <c r="AE93" i="14"/>
  <c r="AE92" i="14"/>
  <c r="AE91" i="14"/>
  <c r="AE90" i="14"/>
  <c r="AE89" i="14"/>
  <c r="AE88" i="14"/>
  <c r="AE87" i="14"/>
  <c r="AE86" i="14"/>
  <c r="AE85" i="14"/>
  <c r="AE84" i="14"/>
  <c r="AE83" i="14"/>
  <c r="AE82" i="14"/>
  <c r="AE81" i="14"/>
  <c r="AE80" i="14"/>
  <c r="AE79" i="14"/>
  <c r="AE78" i="14"/>
  <c r="AE77" i="14"/>
  <c r="AE76" i="14"/>
  <c r="AE75" i="14"/>
  <c r="AE74" i="14"/>
  <c r="AE73" i="14"/>
  <c r="AE72" i="14"/>
  <c r="AE71" i="14"/>
  <c r="AE70" i="14"/>
  <c r="AE69" i="14"/>
  <c r="AE68" i="14"/>
  <c r="AE67" i="14"/>
  <c r="AE66" i="14"/>
  <c r="AE65" i="14"/>
  <c r="AE64" i="14"/>
  <c r="AE63" i="14"/>
  <c r="AE62" i="14"/>
  <c r="AE61" i="14"/>
  <c r="AE60" i="14"/>
  <c r="AE59" i="14"/>
  <c r="AE58" i="14"/>
  <c r="AE57" i="14"/>
  <c r="AE56" i="14"/>
  <c r="AE55" i="14"/>
  <c r="AE54" i="14"/>
  <c r="AE53" i="14"/>
  <c r="AE52" i="14"/>
  <c r="AE51" i="14"/>
  <c r="AE50" i="14"/>
  <c r="AE49" i="14"/>
  <c r="AE48" i="14"/>
  <c r="AE47" i="14"/>
  <c r="AE46" i="14"/>
  <c r="AE45" i="14"/>
  <c r="AE44" i="14"/>
  <c r="AE43" i="14"/>
  <c r="AE42" i="14"/>
  <c r="AE41" i="14"/>
  <c r="AE40" i="14"/>
  <c r="AE39" i="14"/>
  <c r="AE38" i="14"/>
  <c r="AE37" i="14"/>
  <c r="AE36" i="14"/>
  <c r="AE35" i="14"/>
  <c r="AE34" i="14"/>
  <c r="AE33" i="14"/>
  <c r="AE32" i="14"/>
  <c r="AE31" i="14"/>
  <c r="AE30" i="14"/>
  <c r="AE29" i="14"/>
  <c r="AE28" i="14"/>
  <c r="AE27" i="14"/>
  <c r="AE26" i="14"/>
  <c r="AE25" i="14"/>
  <c r="AE24" i="14"/>
  <c r="AE23" i="14"/>
  <c r="AE22" i="14"/>
  <c r="AE21" i="14"/>
  <c r="AE20" i="14"/>
  <c r="AE19" i="14"/>
  <c r="AE18" i="14"/>
  <c r="AE17" i="14"/>
  <c r="AE16" i="14"/>
  <c r="AE15" i="14"/>
  <c r="AE14" i="14"/>
  <c r="AE13" i="14"/>
  <c r="Z40" i="24" l="1"/>
  <c r="Z33" i="24"/>
  <c r="Z25" i="24"/>
  <c r="F8" i="18"/>
  <c r="Q16" i="14" l="1"/>
  <c r="Z34" i="24" s="1"/>
  <c r="R16" i="14"/>
  <c r="Z41" i="24" s="1"/>
  <c r="P16" i="14"/>
  <c r="Z26" i="24" s="1"/>
  <c r="Z37" i="24" l="1"/>
  <c r="Z44" i="24"/>
  <c r="AA40" i="24" s="1"/>
  <c r="AB40" i="24" s="1"/>
  <c r="S12" i="14"/>
  <c r="AA41" i="24" l="1"/>
  <c r="AB41" i="24" s="1"/>
  <c r="AA34" i="24"/>
  <c r="AB34" i="24" s="1"/>
  <c r="AA33" i="24"/>
  <c r="AB33" i="24" s="1"/>
  <c r="AA43" i="24"/>
  <c r="AB43" i="24" s="1"/>
  <c r="AA42" i="24"/>
  <c r="AB42" i="24" s="1"/>
  <c r="AA35" i="24"/>
  <c r="AB35" i="24" s="1"/>
  <c r="AA36" i="24"/>
  <c r="AB36" i="24" s="1"/>
  <c r="AV129" i="14" l="1"/>
  <c r="AU129" i="14"/>
  <c r="AT129" i="14"/>
  <c r="AS129" i="14"/>
  <c r="AR129" i="14"/>
  <c r="AQ129" i="14"/>
  <c r="AV128" i="14"/>
  <c r="AU128" i="14"/>
  <c r="AT128" i="14"/>
  <c r="AS128" i="14"/>
  <c r="AR128" i="14"/>
  <c r="AQ128" i="14"/>
  <c r="AV127" i="14"/>
  <c r="AU127" i="14"/>
  <c r="AT127" i="14"/>
  <c r="AS127" i="14"/>
  <c r="AR127" i="14"/>
  <c r="AQ127" i="14"/>
  <c r="AV126" i="14"/>
  <c r="AU126" i="14"/>
  <c r="AT126" i="14"/>
  <c r="AS126" i="14"/>
  <c r="AR126" i="14"/>
  <c r="AQ126" i="14"/>
  <c r="AV125" i="14"/>
  <c r="AU125" i="14"/>
  <c r="AT125" i="14"/>
  <c r="AS125" i="14"/>
  <c r="AR125" i="14"/>
  <c r="AQ125" i="14"/>
  <c r="AV124" i="14"/>
  <c r="AU124" i="14"/>
  <c r="AT124" i="14"/>
  <c r="AS124" i="14"/>
  <c r="AR124" i="14"/>
  <c r="AQ124" i="14"/>
  <c r="AV123" i="14"/>
  <c r="AU123" i="14"/>
  <c r="AT123" i="14"/>
  <c r="AS123" i="14"/>
  <c r="AR123" i="14"/>
  <c r="AQ123" i="14"/>
  <c r="AV122" i="14"/>
  <c r="AU122" i="14"/>
  <c r="AT122" i="14"/>
  <c r="AS122" i="14"/>
  <c r="AR122" i="14"/>
  <c r="AQ122" i="14"/>
  <c r="AV121" i="14"/>
  <c r="AU121" i="14"/>
  <c r="AT121" i="14"/>
  <c r="AS121" i="14"/>
  <c r="AR121" i="14"/>
  <c r="AQ121" i="14"/>
  <c r="AV120" i="14"/>
  <c r="AU120" i="14"/>
  <c r="AT120" i="14"/>
  <c r="AS120" i="14"/>
  <c r="AR120" i="14"/>
  <c r="AQ120" i="14"/>
  <c r="AV119" i="14"/>
  <c r="AU119" i="14"/>
  <c r="AT119" i="14"/>
  <c r="AS119" i="14"/>
  <c r="AR119" i="14"/>
  <c r="AQ119" i="14"/>
  <c r="AV118" i="14"/>
  <c r="AU118" i="14"/>
  <c r="AT118" i="14"/>
  <c r="AS118" i="14"/>
  <c r="AR118" i="14"/>
  <c r="AQ118" i="14"/>
  <c r="AV117" i="14"/>
  <c r="AU117" i="14"/>
  <c r="AT117" i="14"/>
  <c r="AS117" i="14"/>
  <c r="AR117" i="14"/>
  <c r="AQ117" i="14"/>
  <c r="AV116" i="14"/>
  <c r="AU116" i="14"/>
  <c r="AT116" i="14"/>
  <c r="AS116" i="14"/>
  <c r="AR116" i="14"/>
  <c r="AQ116" i="14"/>
  <c r="AV115" i="14"/>
  <c r="AU115" i="14"/>
  <c r="AT115" i="14"/>
  <c r="AS115" i="14"/>
  <c r="AR115" i="14"/>
  <c r="AQ115" i="14"/>
  <c r="AV114" i="14"/>
  <c r="AU114" i="14"/>
  <c r="AT114" i="14"/>
  <c r="AS114" i="14"/>
  <c r="AR114" i="14"/>
  <c r="AQ114" i="14"/>
  <c r="AV113" i="14"/>
  <c r="AU113" i="14"/>
  <c r="AT113" i="14"/>
  <c r="AS113" i="14"/>
  <c r="AR113" i="14"/>
  <c r="AQ113" i="14"/>
  <c r="AV112" i="14"/>
  <c r="AU112" i="14"/>
  <c r="AT112" i="14"/>
  <c r="AS112" i="14"/>
  <c r="AR112" i="14"/>
  <c r="AQ112" i="14"/>
  <c r="AV111" i="14"/>
  <c r="AU111" i="14"/>
  <c r="AT111" i="14"/>
  <c r="AS111" i="14"/>
  <c r="AR111" i="14"/>
  <c r="AQ111" i="14"/>
  <c r="AV110" i="14"/>
  <c r="AU110" i="14"/>
  <c r="AT110" i="14"/>
  <c r="AS110" i="14"/>
  <c r="AR110" i="14"/>
  <c r="AQ110" i="14"/>
  <c r="AV109" i="14"/>
  <c r="AU109" i="14"/>
  <c r="AT109" i="14"/>
  <c r="AS109" i="14"/>
  <c r="AR109" i="14"/>
  <c r="AQ109" i="14"/>
  <c r="AV108" i="14"/>
  <c r="AU108" i="14"/>
  <c r="AT108" i="14"/>
  <c r="AS108" i="14"/>
  <c r="AR108" i="14"/>
  <c r="AQ108" i="14"/>
  <c r="AV107" i="14"/>
  <c r="AU107" i="14"/>
  <c r="AT107" i="14"/>
  <c r="AS107" i="14"/>
  <c r="AR107" i="14"/>
  <c r="AQ107" i="14"/>
  <c r="AV106" i="14"/>
  <c r="AU106" i="14"/>
  <c r="AT106" i="14"/>
  <c r="AS106" i="14"/>
  <c r="AR106" i="14"/>
  <c r="AQ106" i="14"/>
  <c r="AV105" i="14"/>
  <c r="AU105" i="14"/>
  <c r="AT105" i="14"/>
  <c r="AS105" i="14"/>
  <c r="AR105" i="14"/>
  <c r="AQ105" i="14"/>
  <c r="AV104" i="14"/>
  <c r="AU104" i="14"/>
  <c r="AT104" i="14"/>
  <c r="AS104" i="14"/>
  <c r="AR104" i="14"/>
  <c r="AQ104" i="14"/>
  <c r="AV103" i="14"/>
  <c r="AU103" i="14"/>
  <c r="AT103" i="14"/>
  <c r="AS103" i="14"/>
  <c r="AR103" i="14"/>
  <c r="AQ103" i="14"/>
  <c r="AV102" i="14"/>
  <c r="AU102" i="14"/>
  <c r="AT102" i="14"/>
  <c r="AS102" i="14"/>
  <c r="AR102" i="14"/>
  <c r="AQ102" i="14"/>
  <c r="AV101" i="14"/>
  <c r="AU101" i="14"/>
  <c r="AT101" i="14"/>
  <c r="AS101" i="14"/>
  <c r="AR101" i="14"/>
  <c r="AQ101" i="14"/>
  <c r="AV100" i="14"/>
  <c r="AU100" i="14"/>
  <c r="AT100" i="14"/>
  <c r="AS100" i="14"/>
  <c r="AR100" i="14"/>
  <c r="AQ100" i="14"/>
  <c r="AV99" i="14"/>
  <c r="AU99" i="14"/>
  <c r="AT99" i="14"/>
  <c r="AS99" i="14"/>
  <c r="AR99" i="14"/>
  <c r="AQ99" i="14"/>
  <c r="AV98" i="14"/>
  <c r="AU98" i="14"/>
  <c r="AT98" i="14"/>
  <c r="AS98" i="14"/>
  <c r="AR98" i="14"/>
  <c r="AQ98" i="14"/>
  <c r="AV97" i="14"/>
  <c r="AU97" i="14"/>
  <c r="AT97" i="14"/>
  <c r="AS97" i="14"/>
  <c r="AR97" i="14"/>
  <c r="AQ97" i="14"/>
  <c r="AV96" i="14"/>
  <c r="AU96" i="14"/>
  <c r="AT96" i="14"/>
  <c r="AS96" i="14"/>
  <c r="AR96" i="14"/>
  <c r="AQ96" i="14"/>
  <c r="AV95" i="14"/>
  <c r="AU95" i="14"/>
  <c r="AT95" i="14"/>
  <c r="AS95" i="14"/>
  <c r="AR95" i="14"/>
  <c r="AQ95" i="14"/>
  <c r="AV94" i="14"/>
  <c r="AU94" i="14"/>
  <c r="AT94" i="14"/>
  <c r="AS94" i="14"/>
  <c r="AR94" i="14"/>
  <c r="AQ94" i="14"/>
  <c r="AV93" i="14"/>
  <c r="AU93" i="14"/>
  <c r="AT93" i="14"/>
  <c r="AS93" i="14"/>
  <c r="AR93" i="14"/>
  <c r="AQ93" i="14"/>
  <c r="AV92" i="14"/>
  <c r="AU92" i="14"/>
  <c r="AT92" i="14"/>
  <c r="AS92" i="14"/>
  <c r="AR92" i="14"/>
  <c r="AQ92" i="14"/>
  <c r="AV91" i="14"/>
  <c r="AU91" i="14"/>
  <c r="AT91" i="14"/>
  <c r="AS91" i="14"/>
  <c r="AR91" i="14"/>
  <c r="AQ91" i="14"/>
  <c r="AV90" i="14"/>
  <c r="AU90" i="14"/>
  <c r="AT90" i="14"/>
  <c r="AS90" i="14"/>
  <c r="AR90" i="14"/>
  <c r="AQ90" i="14"/>
  <c r="AV89" i="14"/>
  <c r="AU89" i="14"/>
  <c r="AT89" i="14"/>
  <c r="AS89" i="14"/>
  <c r="AR89" i="14"/>
  <c r="AQ89" i="14"/>
  <c r="AV88" i="14"/>
  <c r="AU88" i="14"/>
  <c r="AT88" i="14"/>
  <c r="AS88" i="14"/>
  <c r="AR88" i="14"/>
  <c r="AQ88" i="14"/>
  <c r="AV87" i="14"/>
  <c r="AU87" i="14"/>
  <c r="AT87" i="14"/>
  <c r="AS87" i="14"/>
  <c r="AR87" i="14"/>
  <c r="AQ87" i="14"/>
  <c r="AV86" i="14"/>
  <c r="AU86" i="14"/>
  <c r="AT86" i="14"/>
  <c r="AS86" i="14"/>
  <c r="AR86" i="14"/>
  <c r="AQ86" i="14"/>
  <c r="AV85" i="14"/>
  <c r="AU85" i="14"/>
  <c r="AT85" i="14"/>
  <c r="AS85" i="14"/>
  <c r="AR85" i="14"/>
  <c r="AQ85" i="14"/>
  <c r="AV84" i="14"/>
  <c r="AU84" i="14"/>
  <c r="AT84" i="14"/>
  <c r="AS84" i="14"/>
  <c r="AR84" i="14"/>
  <c r="AQ84" i="14"/>
  <c r="AV83" i="14"/>
  <c r="AU83" i="14"/>
  <c r="AT83" i="14"/>
  <c r="AS83" i="14"/>
  <c r="AR83" i="14"/>
  <c r="AQ83" i="14"/>
  <c r="AV82" i="14"/>
  <c r="AU82" i="14"/>
  <c r="AT82" i="14"/>
  <c r="AS82" i="14"/>
  <c r="AR82" i="14"/>
  <c r="AQ82" i="14"/>
  <c r="AV81" i="14"/>
  <c r="AU81" i="14"/>
  <c r="AT81" i="14"/>
  <c r="AS81" i="14"/>
  <c r="AR81" i="14"/>
  <c r="AQ81" i="14"/>
  <c r="AV80" i="14"/>
  <c r="AU80" i="14"/>
  <c r="AT80" i="14"/>
  <c r="AS80" i="14"/>
  <c r="AR80" i="14"/>
  <c r="AQ80" i="14"/>
  <c r="AV79" i="14"/>
  <c r="AU79" i="14"/>
  <c r="AT79" i="14"/>
  <c r="AS79" i="14"/>
  <c r="AR79" i="14"/>
  <c r="AQ79" i="14"/>
  <c r="AV78" i="14"/>
  <c r="AU78" i="14"/>
  <c r="AT78" i="14"/>
  <c r="AS78" i="14"/>
  <c r="AR78" i="14"/>
  <c r="AQ78" i="14"/>
  <c r="AV77" i="14"/>
  <c r="AU77" i="14"/>
  <c r="AT77" i="14"/>
  <c r="AS77" i="14"/>
  <c r="AR77" i="14"/>
  <c r="AQ77" i="14"/>
  <c r="AV76" i="14"/>
  <c r="AU76" i="14"/>
  <c r="AT76" i="14"/>
  <c r="AS76" i="14"/>
  <c r="AR76" i="14"/>
  <c r="AQ76" i="14"/>
  <c r="AV75" i="14"/>
  <c r="AU75" i="14"/>
  <c r="AT75" i="14"/>
  <c r="AS75" i="14"/>
  <c r="AR75" i="14"/>
  <c r="AQ75" i="14"/>
  <c r="AV74" i="14"/>
  <c r="AU74" i="14"/>
  <c r="AT74" i="14"/>
  <c r="AS74" i="14"/>
  <c r="AR74" i="14"/>
  <c r="AQ74" i="14"/>
  <c r="AV73" i="14"/>
  <c r="AU73" i="14"/>
  <c r="AT73" i="14"/>
  <c r="AS73" i="14"/>
  <c r="AR73" i="14"/>
  <c r="AQ73" i="14"/>
  <c r="AV72" i="14"/>
  <c r="AU72" i="14"/>
  <c r="AT72" i="14"/>
  <c r="AS72" i="14"/>
  <c r="AR72" i="14"/>
  <c r="AQ72" i="14"/>
  <c r="AV71" i="14"/>
  <c r="AU71" i="14"/>
  <c r="AT71" i="14"/>
  <c r="AS71" i="14"/>
  <c r="AR71" i="14"/>
  <c r="AQ71" i="14"/>
  <c r="AV70" i="14"/>
  <c r="AU70" i="14"/>
  <c r="AT70" i="14"/>
  <c r="AS70" i="14"/>
  <c r="AR70" i="14"/>
  <c r="AQ70" i="14"/>
  <c r="AV69" i="14"/>
  <c r="AU69" i="14"/>
  <c r="AT69" i="14"/>
  <c r="AS69" i="14"/>
  <c r="AR69" i="14"/>
  <c r="AQ69" i="14"/>
  <c r="AV68" i="14"/>
  <c r="AU68" i="14"/>
  <c r="AT68" i="14"/>
  <c r="AS68" i="14"/>
  <c r="AR68" i="14"/>
  <c r="AQ68" i="14"/>
  <c r="AV67" i="14"/>
  <c r="AU67" i="14"/>
  <c r="AT67" i="14"/>
  <c r="AS67" i="14"/>
  <c r="AR67" i="14"/>
  <c r="AQ67" i="14"/>
  <c r="AV66" i="14"/>
  <c r="AU66" i="14"/>
  <c r="AT66" i="14"/>
  <c r="AS66" i="14"/>
  <c r="AR66" i="14"/>
  <c r="AQ66" i="14"/>
  <c r="AV65" i="14"/>
  <c r="AU65" i="14"/>
  <c r="AT65" i="14"/>
  <c r="AS65" i="14"/>
  <c r="AR65" i="14"/>
  <c r="AQ65" i="14"/>
  <c r="AV64" i="14"/>
  <c r="AU64" i="14"/>
  <c r="AT64" i="14"/>
  <c r="AS64" i="14"/>
  <c r="AR64" i="14"/>
  <c r="AQ64" i="14"/>
  <c r="AV63" i="14"/>
  <c r="AU63" i="14"/>
  <c r="AT63" i="14"/>
  <c r="AS63" i="14"/>
  <c r="AR63" i="14"/>
  <c r="AQ63" i="14"/>
  <c r="AV62" i="14"/>
  <c r="AU62" i="14"/>
  <c r="AT62" i="14"/>
  <c r="AS62" i="14"/>
  <c r="AR62" i="14"/>
  <c r="AQ62" i="14"/>
  <c r="AV61" i="14"/>
  <c r="AU61" i="14"/>
  <c r="AT61" i="14"/>
  <c r="AS61" i="14"/>
  <c r="AR61" i="14"/>
  <c r="AQ61" i="14"/>
  <c r="AV60" i="14"/>
  <c r="AU60" i="14"/>
  <c r="AT60" i="14"/>
  <c r="AS60" i="14"/>
  <c r="AR60" i="14"/>
  <c r="AQ60" i="14"/>
  <c r="AV59" i="14"/>
  <c r="AU59" i="14"/>
  <c r="AT59" i="14"/>
  <c r="AS59" i="14"/>
  <c r="AR59" i="14"/>
  <c r="AQ59" i="14"/>
  <c r="AV58" i="14"/>
  <c r="AU58" i="14"/>
  <c r="AT58" i="14"/>
  <c r="AS58" i="14"/>
  <c r="AR58" i="14"/>
  <c r="AQ58" i="14"/>
  <c r="AV57" i="14"/>
  <c r="AU57" i="14"/>
  <c r="AT57" i="14"/>
  <c r="AS57" i="14"/>
  <c r="AR57" i="14"/>
  <c r="AQ57" i="14"/>
  <c r="AV56" i="14"/>
  <c r="AU56" i="14"/>
  <c r="AT56" i="14"/>
  <c r="AS56" i="14"/>
  <c r="AR56" i="14"/>
  <c r="AQ56" i="14"/>
  <c r="AV55" i="14"/>
  <c r="AU55" i="14"/>
  <c r="AT55" i="14"/>
  <c r="AS55" i="14"/>
  <c r="AR55" i="14"/>
  <c r="AQ55" i="14"/>
  <c r="AV54" i="14"/>
  <c r="AU54" i="14"/>
  <c r="AT54" i="14"/>
  <c r="AS54" i="14"/>
  <c r="AR54" i="14"/>
  <c r="AQ54" i="14"/>
  <c r="AV53" i="14"/>
  <c r="AU53" i="14"/>
  <c r="AT53" i="14"/>
  <c r="AS53" i="14"/>
  <c r="AR53" i="14"/>
  <c r="AQ53" i="14"/>
  <c r="AV52" i="14"/>
  <c r="AU52" i="14"/>
  <c r="AT52" i="14"/>
  <c r="AS52" i="14"/>
  <c r="AR52" i="14"/>
  <c r="AQ52" i="14"/>
  <c r="AV51" i="14"/>
  <c r="AU51" i="14"/>
  <c r="AT51" i="14"/>
  <c r="AS51" i="14"/>
  <c r="AR51" i="14"/>
  <c r="AQ51" i="14"/>
  <c r="AV50" i="14"/>
  <c r="AU50" i="14"/>
  <c r="AT50" i="14"/>
  <c r="AS50" i="14"/>
  <c r="AR50" i="14"/>
  <c r="AQ50" i="14"/>
  <c r="AV49" i="14"/>
  <c r="AU49" i="14"/>
  <c r="AT49" i="14"/>
  <c r="AS49" i="14"/>
  <c r="AR49" i="14"/>
  <c r="AQ49" i="14"/>
  <c r="AV48" i="14"/>
  <c r="AU48" i="14"/>
  <c r="AT48" i="14"/>
  <c r="AS48" i="14"/>
  <c r="AR48" i="14"/>
  <c r="AQ48" i="14"/>
  <c r="AV47" i="14"/>
  <c r="AU47" i="14"/>
  <c r="AT47" i="14"/>
  <c r="AS47" i="14"/>
  <c r="AR47" i="14"/>
  <c r="AQ47" i="14"/>
  <c r="AV46" i="14"/>
  <c r="AU46" i="14"/>
  <c r="AT46" i="14"/>
  <c r="AS46" i="14"/>
  <c r="AR46" i="14"/>
  <c r="AQ46" i="14"/>
  <c r="AV45" i="14"/>
  <c r="AU45" i="14"/>
  <c r="AT45" i="14"/>
  <c r="AS45" i="14"/>
  <c r="AR45" i="14"/>
  <c r="AQ45" i="14"/>
  <c r="AV44" i="14"/>
  <c r="AU44" i="14"/>
  <c r="AT44" i="14"/>
  <c r="AS44" i="14"/>
  <c r="AR44" i="14"/>
  <c r="AQ44" i="14"/>
  <c r="AV43" i="14"/>
  <c r="AU43" i="14"/>
  <c r="AT43" i="14"/>
  <c r="AS43" i="14"/>
  <c r="AR43" i="14"/>
  <c r="AQ43" i="14"/>
  <c r="AV42" i="14"/>
  <c r="AU42" i="14"/>
  <c r="AT42" i="14"/>
  <c r="AS42" i="14"/>
  <c r="AR42" i="14"/>
  <c r="AQ42" i="14"/>
  <c r="AV41" i="14"/>
  <c r="AU41" i="14"/>
  <c r="AT41" i="14"/>
  <c r="AS41" i="14"/>
  <c r="AR41" i="14"/>
  <c r="AQ41" i="14"/>
  <c r="AV40" i="14"/>
  <c r="AU40" i="14"/>
  <c r="AT40" i="14"/>
  <c r="AS40" i="14"/>
  <c r="AR40" i="14"/>
  <c r="AQ40" i="14"/>
  <c r="AV39" i="14"/>
  <c r="AU39" i="14"/>
  <c r="AT39" i="14"/>
  <c r="AS39" i="14"/>
  <c r="AR39" i="14"/>
  <c r="AQ39" i="14"/>
  <c r="AV38" i="14"/>
  <c r="AU38" i="14"/>
  <c r="AT38" i="14"/>
  <c r="AS38" i="14"/>
  <c r="AR38" i="14"/>
  <c r="AQ38" i="14"/>
  <c r="AV37" i="14"/>
  <c r="AU37" i="14"/>
  <c r="AT37" i="14"/>
  <c r="AS37" i="14"/>
  <c r="AR37" i="14"/>
  <c r="AQ37" i="14"/>
  <c r="AV36" i="14"/>
  <c r="AU36" i="14"/>
  <c r="AT36" i="14"/>
  <c r="AS36" i="14"/>
  <c r="AR36" i="14"/>
  <c r="AQ36" i="14"/>
  <c r="AV35" i="14"/>
  <c r="AU35" i="14"/>
  <c r="AT35" i="14"/>
  <c r="AS35" i="14"/>
  <c r="AR35" i="14"/>
  <c r="AQ35" i="14"/>
  <c r="AV34" i="14"/>
  <c r="AU34" i="14"/>
  <c r="AT34" i="14"/>
  <c r="AS34" i="14"/>
  <c r="AR34" i="14"/>
  <c r="AQ34" i="14"/>
  <c r="AV33" i="14"/>
  <c r="AU33" i="14"/>
  <c r="AT33" i="14"/>
  <c r="AS33" i="14"/>
  <c r="AR33" i="14"/>
  <c r="AQ33" i="14"/>
  <c r="AV32" i="14"/>
  <c r="AU32" i="14"/>
  <c r="AT32" i="14"/>
  <c r="AS32" i="14"/>
  <c r="AR32" i="14"/>
  <c r="AQ32" i="14"/>
  <c r="AV31" i="14"/>
  <c r="AU31" i="14"/>
  <c r="AT31" i="14"/>
  <c r="AS31" i="14"/>
  <c r="AR31" i="14"/>
  <c r="AQ31" i="14"/>
  <c r="AV30" i="14"/>
  <c r="AU30" i="14"/>
  <c r="AT30" i="14"/>
  <c r="AS30" i="14"/>
  <c r="AR30" i="14"/>
  <c r="AQ30" i="14"/>
  <c r="AV29" i="14"/>
  <c r="AU29" i="14"/>
  <c r="AT29" i="14"/>
  <c r="AS29" i="14"/>
  <c r="AR29" i="14"/>
  <c r="AQ29" i="14"/>
  <c r="AV28" i="14"/>
  <c r="AU28" i="14"/>
  <c r="AT28" i="14"/>
  <c r="AS28" i="14"/>
  <c r="AR28" i="14"/>
  <c r="AQ28" i="14"/>
  <c r="AV27" i="14"/>
  <c r="AU27" i="14"/>
  <c r="AT27" i="14"/>
  <c r="AS27" i="14"/>
  <c r="AR27" i="14"/>
  <c r="AQ27" i="14"/>
  <c r="AV26" i="14"/>
  <c r="AU26" i="14"/>
  <c r="AT26" i="14"/>
  <c r="AS26" i="14"/>
  <c r="AR26" i="14"/>
  <c r="AQ26" i="14"/>
  <c r="AV25" i="14"/>
  <c r="AU25" i="14"/>
  <c r="AT25" i="14"/>
  <c r="AS25" i="14"/>
  <c r="AR25" i="14"/>
  <c r="AQ25" i="14"/>
  <c r="AV24" i="14"/>
  <c r="AU24" i="14"/>
  <c r="AT24" i="14"/>
  <c r="AS24" i="14"/>
  <c r="AR24" i="14"/>
  <c r="AQ24" i="14"/>
  <c r="AV23" i="14"/>
  <c r="AU23" i="14"/>
  <c r="AT23" i="14"/>
  <c r="AS23" i="14"/>
  <c r="AR23" i="14"/>
  <c r="AQ23" i="14"/>
  <c r="AV22" i="14"/>
  <c r="AU22" i="14"/>
  <c r="AT22" i="14"/>
  <c r="AS22" i="14"/>
  <c r="AR22" i="14"/>
  <c r="AQ22" i="14"/>
  <c r="AV21" i="14"/>
  <c r="AU21" i="14"/>
  <c r="AT21" i="14"/>
  <c r="AS21" i="14"/>
  <c r="AR21" i="14"/>
  <c r="AQ21" i="14"/>
  <c r="AV20" i="14"/>
  <c r="AU20" i="14"/>
  <c r="AT20" i="14"/>
  <c r="AS20" i="14"/>
  <c r="AR20" i="14"/>
  <c r="AQ20" i="14"/>
  <c r="AV19" i="14"/>
  <c r="AU19" i="14"/>
  <c r="AT19" i="14"/>
  <c r="AS19" i="14"/>
  <c r="AR19" i="14"/>
  <c r="AQ19" i="14"/>
  <c r="AV18" i="14"/>
  <c r="AU18" i="14"/>
  <c r="AT18" i="14"/>
  <c r="AS18" i="14"/>
  <c r="AR18" i="14"/>
  <c r="AQ18" i="14"/>
  <c r="AV17" i="14"/>
  <c r="AU17" i="14"/>
  <c r="AT17" i="14"/>
  <c r="AS17" i="14"/>
  <c r="AR17" i="14"/>
  <c r="AQ17" i="14"/>
  <c r="AV16" i="14"/>
  <c r="AU16" i="14"/>
  <c r="AT16" i="14"/>
  <c r="AS16" i="14"/>
  <c r="AR16" i="14"/>
  <c r="AQ16" i="14"/>
  <c r="AV15" i="14"/>
  <c r="AU15" i="14"/>
  <c r="AT15" i="14"/>
  <c r="AS15" i="14"/>
  <c r="AR15" i="14"/>
  <c r="AQ15" i="14"/>
  <c r="AV14" i="14"/>
  <c r="AU14" i="14"/>
  <c r="AT14" i="14"/>
  <c r="AS14" i="14"/>
  <c r="AR14" i="14"/>
  <c r="AQ14" i="14"/>
  <c r="AV13" i="14"/>
  <c r="AU13" i="14"/>
  <c r="AT13" i="14"/>
  <c r="AS13" i="14"/>
  <c r="AR13" i="14"/>
  <c r="AQ13" i="14"/>
  <c r="AM129" i="14"/>
  <c r="AL129" i="14"/>
  <c r="AK129" i="14"/>
  <c r="AJ129" i="14"/>
  <c r="AI129" i="14"/>
  <c r="AH129" i="14"/>
  <c r="AG129" i="14"/>
  <c r="AM128" i="14"/>
  <c r="AL128" i="14"/>
  <c r="AK128" i="14"/>
  <c r="AJ128" i="14"/>
  <c r="AI128" i="14"/>
  <c r="AH128" i="14"/>
  <c r="AG128" i="14"/>
  <c r="AM127" i="14"/>
  <c r="AL127" i="14"/>
  <c r="AK127" i="14"/>
  <c r="AJ127" i="14"/>
  <c r="AI127" i="14"/>
  <c r="AH127" i="14"/>
  <c r="AG127" i="14"/>
  <c r="AM126" i="14"/>
  <c r="AL126" i="14"/>
  <c r="AK126" i="14"/>
  <c r="AJ126" i="14"/>
  <c r="AI126" i="14"/>
  <c r="AH126" i="14"/>
  <c r="AG126" i="14"/>
  <c r="AM125" i="14"/>
  <c r="AL125" i="14"/>
  <c r="AK125" i="14"/>
  <c r="AJ125" i="14"/>
  <c r="AI125" i="14"/>
  <c r="AH125" i="14"/>
  <c r="AG125" i="14"/>
  <c r="AM124" i="14"/>
  <c r="AL124" i="14"/>
  <c r="AK124" i="14"/>
  <c r="AJ124" i="14"/>
  <c r="AI124" i="14"/>
  <c r="AH124" i="14"/>
  <c r="AG124" i="14"/>
  <c r="AM123" i="14"/>
  <c r="AL123" i="14"/>
  <c r="AK123" i="14"/>
  <c r="AJ123" i="14"/>
  <c r="AI123" i="14"/>
  <c r="AH123" i="14"/>
  <c r="AG123" i="14"/>
  <c r="AM122" i="14"/>
  <c r="AL122" i="14"/>
  <c r="AK122" i="14"/>
  <c r="AJ122" i="14"/>
  <c r="AI122" i="14"/>
  <c r="AH122" i="14"/>
  <c r="AG122" i="14"/>
  <c r="AM121" i="14"/>
  <c r="AL121" i="14"/>
  <c r="AK121" i="14"/>
  <c r="AJ121" i="14"/>
  <c r="AI121" i="14"/>
  <c r="AH121" i="14"/>
  <c r="AG121" i="14"/>
  <c r="AM120" i="14"/>
  <c r="AL120" i="14"/>
  <c r="AK120" i="14"/>
  <c r="AJ120" i="14"/>
  <c r="AI120" i="14"/>
  <c r="AH120" i="14"/>
  <c r="AG120" i="14"/>
  <c r="AM119" i="14"/>
  <c r="AL119" i="14"/>
  <c r="AK119" i="14"/>
  <c r="AJ119" i="14"/>
  <c r="AI119" i="14"/>
  <c r="AH119" i="14"/>
  <c r="AG119" i="14"/>
  <c r="AM118" i="14"/>
  <c r="AL118" i="14"/>
  <c r="AK118" i="14"/>
  <c r="AJ118" i="14"/>
  <c r="AI118" i="14"/>
  <c r="AH118" i="14"/>
  <c r="AG118" i="14"/>
  <c r="AM117" i="14"/>
  <c r="AL117" i="14"/>
  <c r="AK117" i="14"/>
  <c r="AJ117" i="14"/>
  <c r="AI117" i="14"/>
  <c r="AH117" i="14"/>
  <c r="AG117" i="14"/>
  <c r="AM116" i="14"/>
  <c r="AL116" i="14"/>
  <c r="AK116" i="14"/>
  <c r="AJ116" i="14"/>
  <c r="AI116" i="14"/>
  <c r="AH116" i="14"/>
  <c r="AG116" i="14"/>
  <c r="AM115" i="14"/>
  <c r="AL115" i="14"/>
  <c r="AK115" i="14"/>
  <c r="AJ115" i="14"/>
  <c r="AI115" i="14"/>
  <c r="AH115" i="14"/>
  <c r="AG115" i="14"/>
  <c r="AM114" i="14"/>
  <c r="AL114" i="14"/>
  <c r="AK114" i="14"/>
  <c r="AJ114" i="14"/>
  <c r="AI114" i="14"/>
  <c r="AH114" i="14"/>
  <c r="AG114" i="14"/>
  <c r="AM113" i="14"/>
  <c r="AL113" i="14"/>
  <c r="AK113" i="14"/>
  <c r="AJ113" i="14"/>
  <c r="AI113" i="14"/>
  <c r="AH113" i="14"/>
  <c r="AG113" i="14"/>
  <c r="AM112" i="14"/>
  <c r="AL112" i="14"/>
  <c r="AK112" i="14"/>
  <c r="AJ112" i="14"/>
  <c r="AI112" i="14"/>
  <c r="AH112" i="14"/>
  <c r="AG112" i="14"/>
  <c r="AM111" i="14"/>
  <c r="AL111" i="14"/>
  <c r="AK111" i="14"/>
  <c r="AJ111" i="14"/>
  <c r="AI111" i="14"/>
  <c r="AH111" i="14"/>
  <c r="AG111" i="14"/>
  <c r="AM110" i="14"/>
  <c r="AL110" i="14"/>
  <c r="AK110" i="14"/>
  <c r="AJ110" i="14"/>
  <c r="AI110" i="14"/>
  <c r="AH110" i="14"/>
  <c r="AG110" i="14"/>
  <c r="AM109" i="14"/>
  <c r="AL109" i="14"/>
  <c r="AK109" i="14"/>
  <c r="AJ109" i="14"/>
  <c r="AI109" i="14"/>
  <c r="AH109" i="14"/>
  <c r="AG109" i="14"/>
  <c r="AM108" i="14"/>
  <c r="AL108" i="14"/>
  <c r="AK108" i="14"/>
  <c r="AJ108" i="14"/>
  <c r="AI108" i="14"/>
  <c r="AH108" i="14"/>
  <c r="AG108" i="14"/>
  <c r="AM107" i="14"/>
  <c r="AL107" i="14"/>
  <c r="AK107" i="14"/>
  <c r="AJ107" i="14"/>
  <c r="AI107" i="14"/>
  <c r="AH107" i="14"/>
  <c r="AG107" i="14"/>
  <c r="AM106" i="14"/>
  <c r="AL106" i="14"/>
  <c r="AK106" i="14"/>
  <c r="AJ106" i="14"/>
  <c r="AI106" i="14"/>
  <c r="AH106" i="14"/>
  <c r="AG106" i="14"/>
  <c r="AM105" i="14"/>
  <c r="AL105" i="14"/>
  <c r="AK105" i="14"/>
  <c r="AJ105" i="14"/>
  <c r="AI105" i="14"/>
  <c r="AH105" i="14"/>
  <c r="AG105" i="14"/>
  <c r="AM104" i="14"/>
  <c r="AL104" i="14"/>
  <c r="AK104" i="14"/>
  <c r="AJ104" i="14"/>
  <c r="AI104" i="14"/>
  <c r="AH104" i="14"/>
  <c r="AG104" i="14"/>
  <c r="AM103" i="14"/>
  <c r="AL103" i="14"/>
  <c r="AK103" i="14"/>
  <c r="AJ103" i="14"/>
  <c r="AI103" i="14"/>
  <c r="AH103" i="14"/>
  <c r="AG103" i="14"/>
  <c r="AM102" i="14"/>
  <c r="AL102" i="14"/>
  <c r="AK102" i="14"/>
  <c r="AJ102" i="14"/>
  <c r="AI102" i="14"/>
  <c r="AH102" i="14"/>
  <c r="AG102" i="14"/>
  <c r="AM101" i="14"/>
  <c r="AL101" i="14"/>
  <c r="AK101" i="14"/>
  <c r="AJ101" i="14"/>
  <c r="AI101" i="14"/>
  <c r="AH101" i="14"/>
  <c r="AG101" i="14"/>
  <c r="AM100" i="14"/>
  <c r="AL100" i="14"/>
  <c r="AK100" i="14"/>
  <c r="AJ100" i="14"/>
  <c r="AI100" i="14"/>
  <c r="AH100" i="14"/>
  <c r="AG100" i="14"/>
  <c r="AM99" i="14"/>
  <c r="AL99" i="14"/>
  <c r="AK99" i="14"/>
  <c r="AJ99" i="14"/>
  <c r="AI99" i="14"/>
  <c r="AH99" i="14"/>
  <c r="AG99" i="14"/>
  <c r="AM98" i="14"/>
  <c r="AL98" i="14"/>
  <c r="AK98" i="14"/>
  <c r="AJ98" i="14"/>
  <c r="AI98" i="14"/>
  <c r="AH98" i="14"/>
  <c r="AG98" i="14"/>
  <c r="AM97" i="14"/>
  <c r="AL97" i="14"/>
  <c r="AK97" i="14"/>
  <c r="AJ97" i="14"/>
  <c r="AI97" i="14"/>
  <c r="AH97" i="14"/>
  <c r="AG97" i="14"/>
  <c r="AM96" i="14"/>
  <c r="AL96" i="14"/>
  <c r="AK96" i="14"/>
  <c r="AJ96" i="14"/>
  <c r="AI96" i="14"/>
  <c r="AH96" i="14"/>
  <c r="AG96" i="14"/>
  <c r="AM95" i="14"/>
  <c r="AL95" i="14"/>
  <c r="AK95" i="14"/>
  <c r="AJ95" i="14"/>
  <c r="AI95" i="14"/>
  <c r="AH95" i="14"/>
  <c r="AG95" i="14"/>
  <c r="AM94" i="14"/>
  <c r="AL94" i="14"/>
  <c r="AK94" i="14"/>
  <c r="AJ94" i="14"/>
  <c r="AI94" i="14"/>
  <c r="AH94" i="14"/>
  <c r="AG94" i="14"/>
  <c r="AM93" i="14"/>
  <c r="AL93" i="14"/>
  <c r="AK93" i="14"/>
  <c r="AJ93" i="14"/>
  <c r="AI93" i="14"/>
  <c r="AH93" i="14"/>
  <c r="AG93" i="14"/>
  <c r="AM92" i="14"/>
  <c r="AL92" i="14"/>
  <c r="AK92" i="14"/>
  <c r="AJ92" i="14"/>
  <c r="AI92" i="14"/>
  <c r="AH92" i="14"/>
  <c r="AG92" i="14"/>
  <c r="AM91" i="14"/>
  <c r="AL91" i="14"/>
  <c r="AK91" i="14"/>
  <c r="AJ91" i="14"/>
  <c r="AI91" i="14"/>
  <c r="AH91" i="14"/>
  <c r="AG91" i="14"/>
  <c r="AM90" i="14"/>
  <c r="AL90" i="14"/>
  <c r="AK90" i="14"/>
  <c r="AJ90" i="14"/>
  <c r="AI90" i="14"/>
  <c r="AH90" i="14"/>
  <c r="AG90" i="14"/>
  <c r="AM89" i="14"/>
  <c r="AL89" i="14"/>
  <c r="AK89" i="14"/>
  <c r="AJ89" i="14"/>
  <c r="AI89" i="14"/>
  <c r="AH89" i="14"/>
  <c r="AG89" i="14"/>
  <c r="AM88" i="14"/>
  <c r="AL88" i="14"/>
  <c r="AK88" i="14"/>
  <c r="AJ88" i="14"/>
  <c r="AI88" i="14"/>
  <c r="AH88" i="14"/>
  <c r="AG88" i="14"/>
  <c r="AM87" i="14"/>
  <c r="AL87" i="14"/>
  <c r="AK87" i="14"/>
  <c r="AJ87" i="14"/>
  <c r="AI87" i="14"/>
  <c r="AH87" i="14"/>
  <c r="AG87" i="14"/>
  <c r="AM86" i="14"/>
  <c r="AL86" i="14"/>
  <c r="AK86" i="14"/>
  <c r="AJ86" i="14"/>
  <c r="AI86" i="14"/>
  <c r="AH86" i="14"/>
  <c r="AG86" i="14"/>
  <c r="AM85" i="14"/>
  <c r="AL85" i="14"/>
  <c r="AK85" i="14"/>
  <c r="AJ85" i="14"/>
  <c r="AI85" i="14"/>
  <c r="AH85" i="14"/>
  <c r="AG85" i="14"/>
  <c r="AM84" i="14"/>
  <c r="AL84" i="14"/>
  <c r="AK84" i="14"/>
  <c r="AJ84" i="14"/>
  <c r="AI84" i="14"/>
  <c r="AH84" i="14"/>
  <c r="AG84" i="14"/>
  <c r="AM83" i="14"/>
  <c r="AL83" i="14"/>
  <c r="AK83" i="14"/>
  <c r="AJ83" i="14"/>
  <c r="AI83" i="14"/>
  <c r="AH83" i="14"/>
  <c r="AG83" i="14"/>
  <c r="AM82" i="14"/>
  <c r="AL82" i="14"/>
  <c r="AK82" i="14"/>
  <c r="AJ82" i="14"/>
  <c r="AI82" i="14"/>
  <c r="AH82" i="14"/>
  <c r="AG82" i="14"/>
  <c r="AM81" i="14"/>
  <c r="AL81" i="14"/>
  <c r="AK81" i="14"/>
  <c r="AJ81" i="14"/>
  <c r="AI81" i="14"/>
  <c r="AH81" i="14"/>
  <c r="AG81" i="14"/>
  <c r="AM80" i="14"/>
  <c r="AL80" i="14"/>
  <c r="AK80" i="14"/>
  <c r="AJ80" i="14"/>
  <c r="AI80" i="14"/>
  <c r="AH80" i="14"/>
  <c r="AG80" i="14"/>
  <c r="AM79" i="14"/>
  <c r="AL79" i="14"/>
  <c r="AK79" i="14"/>
  <c r="AJ79" i="14"/>
  <c r="AI79" i="14"/>
  <c r="AH79" i="14"/>
  <c r="AG79" i="14"/>
  <c r="AM78" i="14"/>
  <c r="AL78" i="14"/>
  <c r="AK78" i="14"/>
  <c r="AJ78" i="14"/>
  <c r="AI78" i="14"/>
  <c r="AH78" i="14"/>
  <c r="AG78" i="14"/>
  <c r="AM77" i="14"/>
  <c r="AL77" i="14"/>
  <c r="AK77" i="14"/>
  <c r="AJ77" i="14"/>
  <c r="AI77" i="14"/>
  <c r="AH77" i="14"/>
  <c r="AG77" i="14"/>
  <c r="AM76" i="14"/>
  <c r="AL76" i="14"/>
  <c r="AK76" i="14"/>
  <c r="AJ76" i="14"/>
  <c r="AI76" i="14"/>
  <c r="AH76" i="14"/>
  <c r="AG76" i="14"/>
  <c r="AM75" i="14"/>
  <c r="AL75" i="14"/>
  <c r="AK75" i="14"/>
  <c r="AJ75" i="14"/>
  <c r="AI75" i="14"/>
  <c r="AH75" i="14"/>
  <c r="AG75" i="14"/>
  <c r="AM74" i="14"/>
  <c r="AL74" i="14"/>
  <c r="AK74" i="14"/>
  <c r="AJ74" i="14"/>
  <c r="AI74" i="14"/>
  <c r="AH74" i="14"/>
  <c r="AG74" i="14"/>
  <c r="AM73" i="14"/>
  <c r="AL73" i="14"/>
  <c r="AK73" i="14"/>
  <c r="AJ73" i="14"/>
  <c r="AI73" i="14"/>
  <c r="AH73" i="14"/>
  <c r="AG73" i="14"/>
  <c r="AM72" i="14"/>
  <c r="AL72" i="14"/>
  <c r="AK72" i="14"/>
  <c r="AJ72" i="14"/>
  <c r="AI72" i="14"/>
  <c r="AH72" i="14"/>
  <c r="AG72" i="14"/>
  <c r="AM71" i="14"/>
  <c r="AL71" i="14"/>
  <c r="AK71" i="14"/>
  <c r="AJ71" i="14"/>
  <c r="AI71" i="14"/>
  <c r="AH71" i="14"/>
  <c r="AG71" i="14"/>
  <c r="AM70" i="14"/>
  <c r="AL70" i="14"/>
  <c r="AK70" i="14"/>
  <c r="AJ70" i="14"/>
  <c r="AI70" i="14"/>
  <c r="AH70" i="14"/>
  <c r="AG70" i="14"/>
  <c r="AM69" i="14"/>
  <c r="AL69" i="14"/>
  <c r="AK69" i="14"/>
  <c r="AJ69" i="14"/>
  <c r="AI69" i="14"/>
  <c r="AH69" i="14"/>
  <c r="AG69" i="14"/>
  <c r="AM68" i="14"/>
  <c r="AL68" i="14"/>
  <c r="AK68" i="14"/>
  <c r="AJ68" i="14"/>
  <c r="AI68" i="14"/>
  <c r="AH68" i="14"/>
  <c r="AG68" i="14"/>
  <c r="AM67" i="14"/>
  <c r="AL67" i="14"/>
  <c r="AK67" i="14"/>
  <c r="AJ67" i="14"/>
  <c r="AI67" i="14"/>
  <c r="AH67" i="14"/>
  <c r="AG67" i="14"/>
  <c r="AM66" i="14"/>
  <c r="AL66" i="14"/>
  <c r="AK66" i="14"/>
  <c r="AJ66" i="14"/>
  <c r="AI66" i="14"/>
  <c r="AH66" i="14"/>
  <c r="AG66" i="14"/>
  <c r="AM65" i="14"/>
  <c r="AL65" i="14"/>
  <c r="AK65" i="14"/>
  <c r="AJ65" i="14"/>
  <c r="AI65" i="14"/>
  <c r="AH65" i="14"/>
  <c r="AG65" i="14"/>
  <c r="AM64" i="14"/>
  <c r="AL64" i="14"/>
  <c r="AK64" i="14"/>
  <c r="AJ64" i="14"/>
  <c r="AI64" i="14"/>
  <c r="AH64" i="14"/>
  <c r="AG64" i="14"/>
  <c r="AM63" i="14"/>
  <c r="AL63" i="14"/>
  <c r="AK63" i="14"/>
  <c r="AJ63" i="14"/>
  <c r="AI63" i="14"/>
  <c r="AH63" i="14"/>
  <c r="AG63" i="14"/>
  <c r="AM62" i="14"/>
  <c r="AL62" i="14"/>
  <c r="AK62" i="14"/>
  <c r="AJ62" i="14"/>
  <c r="AI62" i="14"/>
  <c r="AH62" i="14"/>
  <c r="AG62" i="14"/>
  <c r="AM61" i="14"/>
  <c r="AL61" i="14"/>
  <c r="AK61" i="14"/>
  <c r="AJ61" i="14"/>
  <c r="AI61" i="14"/>
  <c r="AH61" i="14"/>
  <c r="AG61" i="14"/>
  <c r="AM60" i="14"/>
  <c r="AL60" i="14"/>
  <c r="AK60" i="14"/>
  <c r="AJ60" i="14"/>
  <c r="AI60" i="14"/>
  <c r="AH60" i="14"/>
  <c r="AG60" i="14"/>
  <c r="AM59" i="14"/>
  <c r="AL59" i="14"/>
  <c r="AK59" i="14"/>
  <c r="AJ59" i="14"/>
  <c r="AI59" i="14"/>
  <c r="AH59" i="14"/>
  <c r="AG59" i="14"/>
  <c r="AM58" i="14"/>
  <c r="AL58" i="14"/>
  <c r="AK58" i="14"/>
  <c r="AJ58" i="14"/>
  <c r="AI58" i="14"/>
  <c r="AH58" i="14"/>
  <c r="AG58" i="14"/>
  <c r="AM57" i="14"/>
  <c r="AL57" i="14"/>
  <c r="AK57" i="14"/>
  <c r="AJ57" i="14"/>
  <c r="AI57" i="14"/>
  <c r="AH57" i="14"/>
  <c r="AG57" i="14"/>
  <c r="AM56" i="14"/>
  <c r="AL56" i="14"/>
  <c r="AK56" i="14"/>
  <c r="AJ56" i="14"/>
  <c r="AI56" i="14"/>
  <c r="AH56" i="14"/>
  <c r="AG56" i="14"/>
  <c r="AM55" i="14"/>
  <c r="AL55" i="14"/>
  <c r="AK55" i="14"/>
  <c r="AJ55" i="14"/>
  <c r="AI55" i="14"/>
  <c r="AH55" i="14"/>
  <c r="AG55" i="14"/>
  <c r="AM54" i="14"/>
  <c r="AL54" i="14"/>
  <c r="AK54" i="14"/>
  <c r="AJ54" i="14"/>
  <c r="AI54" i="14"/>
  <c r="AH54" i="14"/>
  <c r="AG54" i="14"/>
  <c r="AM53" i="14"/>
  <c r="AL53" i="14"/>
  <c r="AK53" i="14"/>
  <c r="AJ53" i="14"/>
  <c r="AI53" i="14"/>
  <c r="AH53" i="14"/>
  <c r="AG53" i="14"/>
  <c r="AM52" i="14"/>
  <c r="AL52" i="14"/>
  <c r="AK52" i="14"/>
  <c r="AJ52" i="14"/>
  <c r="AI52" i="14"/>
  <c r="AH52" i="14"/>
  <c r="AG52" i="14"/>
  <c r="AM51" i="14"/>
  <c r="AL51" i="14"/>
  <c r="AK51" i="14"/>
  <c r="AJ51" i="14"/>
  <c r="AI51" i="14"/>
  <c r="AH51" i="14"/>
  <c r="AG51" i="14"/>
  <c r="AM50" i="14"/>
  <c r="AL50" i="14"/>
  <c r="AK50" i="14"/>
  <c r="AJ50" i="14"/>
  <c r="AI50" i="14"/>
  <c r="AH50" i="14"/>
  <c r="AG50" i="14"/>
  <c r="AM49" i="14"/>
  <c r="AL49" i="14"/>
  <c r="AK49" i="14"/>
  <c r="AJ49" i="14"/>
  <c r="AI49" i="14"/>
  <c r="AH49" i="14"/>
  <c r="AG49" i="14"/>
  <c r="AM48" i="14"/>
  <c r="AL48" i="14"/>
  <c r="AK48" i="14"/>
  <c r="AJ48" i="14"/>
  <c r="AI48" i="14"/>
  <c r="AH48" i="14"/>
  <c r="AG48" i="14"/>
  <c r="AM47" i="14"/>
  <c r="AL47" i="14"/>
  <c r="AK47" i="14"/>
  <c r="AJ47" i="14"/>
  <c r="AI47" i="14"/>
  <c r="AH47" i="14"/>
  <c r="AG47" i="14"/>
  <c r="AM46" i="14"/>
  <c r="AL46" i="14"/>
  <c r="AK46" i="14"/>
  <c r="AJ46" i="14"/>
  <c r="AI46" i="14"/>
  <c r="AH46" i="14"/>
  <c r="AG46" i="14"/>
  <c r="AM45" i="14"/>
  <c r="AL45" i="14"/>
  <c r="AK45" i="14"/>
  <c r="AJ45" i="14"/>
  <c r="AI45" i="14"/>
  <c r="AH45" i="14"/>
  <c r="AG45" i="14"/>
  <c r="AM44" i="14"/>
  <c r="AL44" i="14"/>
  <c r="AK44" i="14"/>
  <c r="AJ44" i="14"/>
  <c r="AI44" i="14"/>
  <c r="AH44" i="14"/>
  <c r="AG44" i="14"/>
  <c r="AM43" i="14"/>
  <c r="AL43" i="14"/>
  <c r="AK43" i="14"/>
  <c r="AJ43" i="14"/>
  <c r="AI43" i="14"/>
  <c r="AH43" i="14"/>
  <c r="AG43" i="14"/>
  <c r="AM42" i="14"/>
  <c r="AL42" i="14"/>
  <c r="AK42" i="14"/>
  <c r="AJ42" i="14"/>
  <c r="AI42" i="14"/>
  <c r="AH42" i="14"/>
  <c r="AG42" i="14"/>
  <c r="AM41" i="14"/>
  <c r="AL41" i="14"/>
  <c r="AK41" i="14"/>
  <c r="AJ41" i="14"/>
  <c r="AI41" i="14"/>
  <c r="AH41" i="14"/>
  <c r="AG41" i="14"/>
  <c r="AM40" i="14"/>
  <c r="AL40" i="14"/>
  <c r="AK40" i="14"/>
  <c r="AJ40" i="14"/>
  <c r="AI40" i="14"/>
  <c r="AH40" i="14"/>
  <c r="AG40" i="14"/>
  <c r="AM39" i="14"/>
  <c r="AL39" i="14"/>
  <c r="AK39" i="14"/>
  <c r="AJ39" i="14"/>
  <c r="AI39" i="14"/>
  <c r="AH39" i="14"/>
  <c r="AG39" i="14"/>
  <c r="AM38" i="14"/>
  <c r="AL38" i="14"/>
  <c r="AK38" i="14"/>
  <c r="AJ38" i="14"/>
  <c r="AI38" i="14"/>
  <c r="AH38" i="14"/>
  <c r="AG38" i="14"/>
  <c r="AM37" i="14"/>
  <c r="AL37" i="14"/>
  <c r="AK37" i="14"/>
  <c r="AJ37" i="14"/>
  <c r="AI37" i="14"/>
  <c r="AH37" i="14"/>
  <c r="AG37" i="14"/>
  <c r="AM36" i="14"/>
  <c r="AL36" i="14"/>
  <c r="AK36" i="14"/>
  <c r="AJ36" i="14"/>
  <c r="AI36" i="14"/>
  <c r="AH36" i="14"/>
  <c r="AG36" i="14"/>
  <c r="AM35" i="14"/>
  <c r="AL35" i="14"/>
  <c r="AK35" i="14"/>
  <c r="AJ35" i="14"/>
  <c r="AI35" i="14"/>
  <c r="AH35" i="14"/>
  <c r="AG35" i="14"/>
  <c r="AM34" i="14"/>
  <c r="AL34" i="14"/>
  <c r="AK34" i="14"/>
  <c r="AJ34" i="14"/>
  <c r="AI34" i="14"/>
  <c r="AH34" i="14"/>
  <c r="AG34" i="14"/>
  <c r="AM33" i="14"/>
  <c r="AL33" i="14"/>
  <c r="AK33" i="14"/>
  <c r="AJ33" i="14"/>
  <c r="AI33" i="14"/>
  <c r="AH33" i="14"/>
  <c r="AG33" i="14"/>
  <c r="AM32" i="14"/>
  <c r="AL32" i="14"/>
  <c r="AK32" i="14"/>
  <c r="AJ32" i="14"/>
  <c r="AI32" i="14"/>
  <c r="AH32" i="14"/>
  <c r="AG32" i="14"/>
  <c r="AM31" i="14"/>
  <c r="AL31" i="14"/>
  <c r="AK31" i="14"/>
  <c r="AJ31" i="14"/>
  <c r="AI31" i="14"/>
  <c r="AH31" i="14"/>
  <c r="AG31" i="14"/>
  <c r="AM30" i="14"/>
  <c r="AL30" i="14"/>
  <c r="AK30" i="14"/>
  <c r="AJ30" i="14"/>
  <c r="AI30" i="14"/>
  <c r="AH30" i="14"/>
  <c r="AG30" i="14"/>
  <c r="AM29" i="14"/>
  <c r="AL29" i="14"/>
  <c r="AK29" i="14"/>
  <c r="AJ29" i="14"/>
  <c r="AI29" i="14"/>
  <c r="AH29" i="14"/>
  <c r="AG29" i="14"/>
  <c r="AM28" i="14"/>
  <c r="AL28" i="14"/>
  <c r="AK28" i="14"/>
  <c r="AJ28" i="14"/>
  <c r="AI28" i="14"/>
  <c r="AH28" i="14"/>
  <c r="AG28" i="14"/>
  <c r="AM27" i="14"/>
  <c r="AL27" i="14"/>
  <c r="AK27" i="14"/>
  <c r="AJ27" i="14"/>
  <c r="AI27" i="14"/>
  <c r="AH27" i="14"/>
  <c r="AG27" i="14"/>
  <c r="AM26" i="14"/>
  <c r="AL26" i="14"/>
  <c r="AK26" i="14"/>
  <c r="AJ26" i="14"/>
  <c r="AI26" i="14"/>
  <c r="AH26" i="14"/>
  <c r="AG26" i="14"/>
  <c r="AM25" i="14"/>
  <c r="AL25" i="14"/>
  <c r="AK25" i="14"/>
  <c r="AJ25" i="14"/>
  <c r="AI25" i="14"/>
  <c r="AH25" i="14"/>
  <c r="AG25" i="14"/>
  <c r="AM24" i="14"/>
  <c r="AL24" i="14"/>
  <c r="AK24" i="14"/>
  <c r="AJ24" i="14"/>
  <c r="AI24" i="14"/>
  <c r="AH24" i="14"/>
  <c r="AG24" i="14"/>
  <c r="AM23" i="14"/>
  <c r="AL23" i="14"/>
  <c r="AK23" i="14"/>
  <c r="AJ23" i="14"/>
  <c r="AI23" i="14"/>
  <c r="AH23" i="14"/>
  <c r="AG23" i="14"/>
  <c r="AM22" i="14"/>
  <c r="AL22" i="14"/>
  <c r="AK22" i="14"/>
  <c r="AJ22" i="14"/>
  <c r="AI22" i="14"/>
  <c r="AH22" i="14"/>
  <c r="AG22" i="14"/>
  <c r="AM21" i="14"/>
  <c r="AL21" i="14"/>
  <c r="AK21" i="14"/>
  <c r="AJ21" i="14"/>
  <c r="AI21" i="14"/>
  <c r="AH21" i="14"/>
  <c r="AG21" i="14"/>
  <c r="AM20" i="14"/>
  <c r="AL20" i="14"/>
  <c r="AK20" i="14"/>
  <c r="AJ20" i="14"/>
  <c r="AI20" i="14"/>
  <c r="AH20" i="14"/>
  <c r="AG20" i="14"/>
  <c r="AM19" i="14"/>
  <c r="AL19" i="14"/>
  <c r="AK19" i="14"/>
  <c r="AJ19" i="14"/>
  <c r="AI19" i="14"/>
  <c r="AH19" i="14"/>
  <c r="AG19" i="14"/>
  <c r="AM18" i="14"/>
  <c r="AL18" i="14"/>
  <c r="AK18" i="14"/>
  <c r="AJ18" i="14"/>
  <c r="AI18" i="14"/>
  <c r="AH18" i="14"/>
  <c r="AG18" i="14"/>
  <c r="AM17" i="14"/>
  <c r="AL17" i="14"/>
  <c r="AK17" i="14"/>
  <c r="AJ17" i="14"/>
  <c r="AI17" i="14"/>
  <c r="AH17" i="14"/>
  <c r="AG17" i="14"/>
  <c r="AM16" i="14"/>
  <c r="AL16" i="14"/>
  <c r="AK16" i="14"/>
  <c r="AJ16" i="14"/>
  <c r="AI16" i="14"/>
  <c r="AH16" i="14"/>
  <c r="AG16" i="14"/>
  <c r="AM15" i="14"/>
  <c r="AL15" i="14"/>
  <c r="AK15" i="14"/>
  <c r="AJ15" i="14"/>
  <c r="AI15" i="14"/>
  <c r="AH15" i="14"/>
  <c r="AG15" i="14"/>
  <c r="AM14" i="14"/>
  <c r="AL14" i="14"/>
  <c r="AK14" i="14"/>
  <c r="AJ14" i="14"/>
  <c r="AI14" i="14"/>
  <c r="AH14" i="14"/>
  <c r="AG14" i="14"/>
  <c r="AM13" i="14"/>
  <c r="AL13" i="14"/>
  <c r="AK13" i="14"/>
  <c r="AJ13" i="14"/>
  <c r="AI13" i="14"/>
  <c r="AH13" i="14"/>
  <c r="AG13" i="14"/>
  <c r="AD129" i="14"/>
  <c r="AC129" i="14"/>
  <c r="AB129" i="14"/>
  <c r="AA129" i="14"/>
  <c r="Z129" i="14"/>
  <c r="Y129" i="14"/>
  <c r="X129" i="14"/>
  <c r="AD128" i="14"/>
  <c r="AC128" i="14"/>
  <c r="AB128" i="14"/>
  <c r="AA128" i="14"/>
  <c r="Z128" i="14"/>
  <c r="Y128" i="14"/>
  <c r="X128" i="14"/>
  <c r="W128" i="14"/>
  <c r="AD127" i="14"/>
  <c r="AC127" i="14"/>
  <c r="AB127" i="14"/>
  <c r="AA127" i="14"/>
  <c r="Z127" i="14"/>
  <c r="Y127" i="14"/>
  <c r="X127" i="14"/>
  <c r="W127" i="14"/>
  <c r="AD126" i="14"/>
  <c r="AC126" i="14"/>
  <c r="AB126" i="14"/>
  <c r="AA126" i="14"/>
  <c r="Z126" i="14"/>
  <c r="Y126" i="14"/>
  <c r="X126" i="14"/>
  <c r="W126" i="14"/>
  <c r="AD125" i="14"/>
  <c r="AC125" i="14"/>
  <c r="AB125" i="14"/>
  <c r="AA125" i="14"/>
  <c r="Z125" i="14"/>
  <c r="Y125" i="14"/>
  <c r="X125" i="14"/>
  <c r="W125" i="14"/>
  <c r="AD124" i="14"/>
  <c r="AC124" i="14"/>
  <c r="AB124" i="14"/>
  <c r="AA124" i="14"/>
  <c r="Z124" i="14"/>
  <c r="Y124" i="14"/>
  <c r="X124" i="14"/>
  <c r="W124" i="14"/>
  <c r="AD123" i="14"/>
  <c r="AC123" i="14"/>
  <c r="AB123" i="14"/>
  <c r="AA123" i="14"/>
  <c r="Z123" i="14"/>
  <c r="Y123" i="14"/>
  <c r="X123" i="14"/>
  <c r="W123" i="14"/>
  <c r="AD122" i="14"/>
  <c r="AC122" i="14"/>
  <c r="AB122" i="14"/>
  <c r="AA122" i="14"/>
  <c r="Z122" i="14"/>
  <c r="Y122" i="14"/>
  <c r="X122" i="14"/>
  <c r="W122" i="14"/>
  <c r="AD121" i="14"/>
  <c r="AC121" i="14"/>
  <c r="AB121" i="14"/>
  <c r="AA121" i="14"/>
  <c r="Z121" i="14"/>
  <c r="Y121" i="14"/>
  <c r="X121" i="14"/>
  <c r="W121" i="14"/>
  <c r="AD120" i="14"/>
  <c r="AC120" i="14"/>
  <c r="AB120" i="14"/>
  <c r="AA120" i="14"/>
  <c r="Z120" i="14"/>
  <c r="Y120" i="14"/>
  <c r="X120" i="14"/>
  <c r="W120" i="14"/>
  <c r="AD119" i="14"/>
  <c r="AC119" i="14"/>
  <c r="AB119" i="14"/>
  <c r="AA119" i="14"/>
  <c r="Z119" i="14"/>
  <c r="Y119" i="14"/>
  <c r="X119" i="14"/>
  <c r="W119" i="14"/>
  <c r="AD118" i="14"/>
  <c r="AC118" i="14"/>
  <c r="AB118" i="14"/>
  <c r="AA118" i="14"/>
  <c r="Z118" i="14"/>
  <c r="Y118" i="14"/>
  <c r="X118" i="14"/>
  <c r="W118" i="14"/>
  <c r="AD117" i="14"/>
  <c r="AC117" i="14"/>
  <c r="AB117" i="14"/>
  <c r="AA117" i="14"/>
  <c r="Z117" i="14"/>
  <c r="Y117" i="14"/>
  <c r="X117" i="14"/>
  <c r="W117" i="14"/>
  <c r="AD116" i="14"/>
  <c r="AC116" i="14"/>
  <c r="AB116" i="14"/>
  <c r="AA116" i="14"/>
  <c r="Z116" i="14"/>
  <c r="Y116" i="14"/>
  <c r="X116" i="14"/>
  <c r="W116" i="14"/>
  <c r="AD115" i="14"/>
  <c r="AC115" i="14"/>
  <c r="AB115" i="14"/>
  <c r="AA115" i="14"/>
  <c r="Z115" i="14"/>
  <c r="Y115" i="14"/>
  <c r="X115" i="14"/>
  <c r="W115" i="14"/>
  <c r="AD114" i="14"/>
  <c r="AC114" i="14"/>
  <c r="AB114" i="14"/>
  <c r="AA114" i="14"/>
  <c r="Z114" i="14"/>
  <c r="Y114" i="14"/>
  <c r="X114" i="14"/>
  <c r="W114" i="14"/>
  <c r="AD113" i="14"/>
  <c r="AC113" i="14"/>
  <c r="AB113" i="14"/>
  <c r="AA113" i="14"/>
  <c r="Z113" i="14"/>
  <c r="Y113" i="14"/>
  <c r="X113" i="14"/>
  <c r="W113" i="14"/>
  <c r="AD112" i="14"/>
  <c r="AC112" i="14"/>
  <c r="AB112" i="14"/>
  <c r="AA112" i="14"/>
  <c r="Z112" i="14"/>
  <c r="Y112" i="14"/>
  <c r="X112" i="14"/>
  <c r="W112" i="14"/>
  <c r="AD111" i="14"/>
  <c r="AC111" i="14"/>
  <c r="AB111" i="14"/>
  <c r="AA111" i="14"/>
  <c r="Z111" i="14"/>
  <c r="Y111" i="14"/>
  <c r="X111" i="14"/>
  <c r="W111" i="14"/>
  <c r="AD110" i="14"/>
  <c r="AC110" i="14"/>
  <c r="AB110" i="14"/>
  <c r="AA110" i="14"/>
  <c r="Z110" i="14"/>
  <c r="Y110" i="14"/>
  <c r="X110" i="14"/>
  <c r="W110" i="14"/>
  <c r="AD109" i="14"/>
  <c r="AC109" i="14"/>
  <c r="AB109" i="14"/>
  <c r="AA109" i="14"/>
  <c r="Z109" i="14"/>
  <c r="Y109" i="14"/>
  <c r="X109" i="14"/>
  <c r="W109" i="14"/>
  <c r="AD108" i="14"/>
  <c r="AC108" i="14"/>
  <c r="AB108" i="14"/>
  <c r="AA108" i="14"/>
  <c r="Z108" i="14"/>
  <c r="Y108" i="14"/>
  <c r="X108" i="14"/>
  <c r="W108" i="14"/>
  <c r="AD107" i="14"/>
  <c r="AC107" i="14"/>
  <c r="AB107" i="14"/>
  <c r="AA107" i="14"/>
  <c r="Z107" i="14"/>
  <c r="Y107" i="14"/>
  <c r="X107" i="14"/>
  <c r="W107" i="14"/>
  <c r="AD106" i="14"/>
  <c r="AC106" i="14"/>
  <c r="AB106" i="14"/>
  <c r="AA106" i="14"/>
  <c r="Z106" i="14"/>
  <c r="Y106" i="14"/>
  <c r="X106" i="14"/>
  <c r="W106" i="14"/>
  <c r="AD105" i="14"/>
  <c r="AC105" i="14"/>
  <c r="AB105" i="14"/>
  <c r="AA105" i="14"/>
  <c r="Z105" i="14"/>
  <c r="Y105" i="14"/>
  <c r="X105" i="14"/>
  <c r="W105" i="14"/>
  <c r="AD104" i="14"/>
  <c r="AC104" i="14"/>
  <c r="AB104" i="14"/>
  <c r="AA104" i="14"/>
  <c r="Z104" i="14"/>
  <c r="Y104" i="14"/>
  <c r="X104" i="14"/>
  <c r="W104" i="14"/>
  <c r="AD103" i="14"/>
  <c r="AC103" i="14"/>
  <c r="AB103" i="14"/>
  <c r="AA103" i="14"/>
  <c r="Z103" i="14"/>
  <c r="Y103" i="14"/>
  <c r="X103" i="14"/>
  <c r="W103" i="14"/>
  <c r="AD102" i="14"/>
  <c r="AC102" i="14"/>
  <c r="AB102" i="14"/>
  <c r="AA102" i="14"/>
  <c r="Z102" i="14"/>
  <c r="Y102" i="14"/>
  <c r="X102" i="14"/>
  <c r="W102" i="14"/>
  <c r="AD101" i="14"/>
  <c r="AC101" i="14"/>
  <c r="AB101" i="14"/>
  <c r="AA101" i="14"/>
  <c r="Z101" i="14"/>
  <c r="Y101" i="14"/>
  <c r="X101" i="14"/>
  <c r="W101" i="14"/>
  <c r="AD100" i="14"/>
  <c r="AC100" i="14"/>
  <c r="AB100" i="14"/>
  <c r="AA100" i="14"/>
  <c r="Z100" i="14"/>
  <c r="Y100" i="14"/>
  <c r="X100" i="14"/>
  <c r="W100" i="14"/>
  <c r="AD99" i="14"/>
  <c r="AC99" i="14"/>
  <c r="AB99" i="14"/>
  <c r="AA99" i="14"/>
  <c r="Z99" i="14"/>
  <c r="Y99" i="14"/>
  <c r="X99" i="14"/>
  <c r="W99" i="14"/>
  <c r="AD98" i="14"/>
  <c r="AC98" i="14"/>
  <c r="AB98" i="14"/>
  <c r="AA98" i="14"/>
  <c r="Z98" i="14"/>
  <c r="Y98" i="14"/>
  <c r="X98" i="14"/>
  <c r="W98" i="14"/>
  <c r="AD97" i="14"/>
  <c r="AC97" i="14"/>
  <c r="AB97" i="14"/>
  <c r="AA97" i="14"/>
  <c r="Z97" i="14"/>
  <c r="Y97" i="14"/>
  <c r="X97" i="14"/>
  <c r="W97" i="14"/>
  <c r="AD96" i="14"/>
  <c r="AC96" i="14"/>
  <c r="AB96" i="14"/>
  <c r="AA96" i="14"/>
  <c r="Z96" i="14"/>
  <c r="Y96" i="14"/>
  <c r="X96" i="14"/>
  <c r="W96" i="14"/>
  <c r="AD95" i="14"/>
  <c r="AC95" i="14"/>
  <c r="AB95" i="14"/>
  <c r="AA95" i="14"/>
  <c r="Z95" i="14"/>
  <c r="Y95" i="14"/>
  <c r="X95" i="14"/>
  <c r="W95" i="14"/>
  <c r="AD94" i="14"/>
  <c r="AC94" i="14"/>
  <c r="AB94" i="14"/>
  <c r="AA94" i="14"/>
  <c r="Z94" i="14"/>
  <c r="Y94" i="14"/>
  <c r="X94" i="14"/>
  <c r="W94" i="14"/>
  <c r="AD93" i="14"/>
  <c r="AC93" i="14"/>
  <c r="AB93" i="14"/>
  <c r="AA93" i="14"/>
  <c r="Z93" i="14"/>
  <c r="Y93" i="14"/>
  <c r="X93" i="14"/>
  <c r="W93" i="14"/>
  <c r="AD92" i="14"/>
  <c r="AC92" i="14"/>
  <c r="AB92" i="14"/>
  <c r="AA92" i="14"/>
  <c r="Z92" i="14"/>
  <c r="Y92" i="14"/>
  <c r="X92" i="14"/>
  <c r="W92" i="14"/>
  <c r="AD91" i="14"/>
  <c r="AC91" i="14"/>
  <c r="AB91" i="14"/>
  <c r="AA91" i="14"/>
  <c r="Z91" i="14"/>
  <c r="Y91" i="14"/>
  <c r="X91" i="14"/>
  <c r="W91" i="14"/>
  <c r="AD90" i="14"/>
  <c r="AC90" i="14"/>
  <c r="AB90" i="14"/>
  <c r="AA90" i="14"/>
  <c r="Z90" i="14"/>
  <c r="Y90" i="14"/>
  <c r="X90" i="14"/>
  <c r="W90" i="14"/>
  <c r="AD89" i="14"/>
  <c r="AC89" i="14"/>
  <c r="AB89" i="14"/>
  <c r="AA89" i="14"/>
  <c r="Z89" i="14"/>
  <c r="Y89" i="14"/>
  <c r="X89" i="14"/>
  <c r="W89" i="14"/>
  <c r="AD88" i="14"/>
  <c r="AC88" i="14"/>
  <c r="AB88" i="14"/>
  <c r="AA88" i="14"/>
  <c r="Z88" i="14"/>
  <c r="Y88" i="14"/>
  <c r="X88" i="14"/>
  <c r="W88" i="14"/>
  <c r="AD87" i="14"/>
  <c r="AC87" i="14"/>
  <c r="AB87" i="14"/>
  <c r="AA87" i="14"/>
  <c r="Z87" i="14"/>
  <c r="Y87" i="14"/>
  <c r="X87" i="14"/>
  <c r="W87" i="14"/>
  <c r="AD86" i="14"/>
  <c r="AC86" i="14"/>
  <c r="AB86" i="14"/>
  <c r="AA86" i="14"/>
  <c r="Z86" i="14"/>
  <c r="Y86" i="14"/>
  <c r="X86" i="14"/>
  <c r="W86" i="14"/>
  <c r="AD85" i="14"/>
  <c r="AC85" i="14"/>
  <c r="AB85" i="14"/>
  <c r="AA85" i="14"/>
  <c r="Z85" i="14"/>
  <c r="Y85" i="14"/>
  <c r="X85" i="14"/>
  <c r="W85" i="14"/>
  <c r="AD84" i="14"/>
  <c r="AC84" i="14"/>
  <c r="AB84" i="14"/>
  <c r="AA84" i="14"/>
  <c r="Z84" i="14"/>
  <c r="Y84" i="14"/>
  <c r="X84" i="14"/>
  <c r="W84" i="14"/>
  <c r="AD83" i="14"/>
  <c r="AC83" i="14"/>
  <c r="AB83" i="14"/>
  <c r="AA83" i="14"/>
  <c r="Z83" i="14"/>
  <c r="Y83" i="14"/>
  <c r="X83" i="14"/>
  <c r="W83" i="14"/>
  <c r="AD82" i="14"/>
  <c r="AC82" i="14"/>
  <c r="AB82" i="14"/>
  <c r="AA82" i="14"/>
  <c r="Z82" i="14"/>
  <c r="Y82" i="14"/>
  <c r="X82" i="14"/>
  <c r="W82" i="14"/>
  <c r="AD81" i="14"/>
  <c r="AC81" i="14"/>
  <c r="AB81" i="14"/>
  <c r="AA81" i="14"/>
  <c r="Z81" i="14"/>
  <c r="Y81" i="14"/>
  <c r="X81" i="14"/>
  <c r="W81" i="14"/>
  <c r="AD80" i="14"/>
  <c r="AC80" i="14"/>
  <c r="AB80" i="14"/>
  <c r="AA80" i="14"/>
  <c r="Z80" i="14"/>
  <c r="Y80" i="14"/>
  <c r="X80" i="14"/>
  <c r="W80" i="14"/>
  <c r="AD79" i="14"/>
  <c r="AC79" i="14"/>
  <c r="AB79" i="14"/>
  <c r="AA79" i="14"/>
  <c r="Z79" i="14"/>
  <c r="Y79" i="14"/>
  <c r="X79" i="14"/>
  <c r="W79" i="14"/>
  <c r="AD78" i="14"/>
  <c r="AC78" i="14"/>
  <c r="AB78" i="14"/>
  <c r="AA78" i="14"/>
  <c r="Z78" i="14"/>
  <c r="Y78" i="14"/>
  <c r="X78" i="14"/>
  <c r="W78" i="14"/>
  <c r="AD77" i="14"/>
  <c r="AC77" i="14"/>
  <c r="AB77" i="14"/>
  <c r="AA77" i="14"/>
  <c r="Z77" i="14"/>
  <c r="Y77" i="14"/>
  <c r="X77" i="14"/>
  <c r="W77" i="14"/>
  <c r="AD76" i="14"/>
  <c r="AC76" i="14"/>
  <c r="AB76" i="14"/>
  <c r="AA76" i="14"/>
  <c r="Z76" i="14"/>
  <c r="Y76" i="14"/>
  <c r="X76" i="14"/>
  <c r="W76" i="14"/>
  <c r="AD75" i="14"/>
  <c r="AC75" i="14"/>
  <c r="AB75" i="14"/>
  <c r="AA75" i="14"/>
  <c r="Z75" i="14"/>
  <c r="Y75" i="14"/>
  <c r="X75" i="14"/>
  <c r="W75" i="14"/>
  <c r="AD74" i="14"/>
  <c r="AC74" i="14"/>
  <c r="AB74" i="14"/>
  <c r="AA74" i="14"/>
  <c r="Z74" i="14"/>
  <c r="Y74" i="14"/>
  <c r="X74" i="14"/>
  <c r="W74" i="14"/>
  <c r="AD73" i="14"/>
  <c r="AC73" i="14"/>
  <c r="AB73" i="14"/>
  <c r="AA73" i="14"/>
  <c r="Z73" i="14"/>
  <c r="Y73" i="14"/>
  <c r="X73" i="14"/>
  <c r="W73" i="14"/>
  <c r="AD72" i="14"/>
  <c r="AC72" i="14"/>
  <c r="AB72" i="14"/>
  <c r="AA72" i="14"/>
  <c r="Z72" i="14"/>
  <c r="Y72" i="14"/>
  <c r="X72" i="14"/>
  <c r="W72" i="14"/>
  <c r="AD71" i="14"/>
  <c r="AC71" i="14"/>
  <c r="AB71" i="14"/>
  <c r="AA71" i="14"/>
  <c r="Z71" i="14"/>
  <c r="Y71" i="14"/>
  <c r="X71" i="14"/>
  <c r="W71" i="14"/>
  <c r="AD70" i="14"/>
  <c r="AC70" i="14"/>
  <c r="AB70" i="14"/>
  <c r="AA70" i="14"/>
  <c r="Z70" i="14"/>
  <c r="Y70" i="14"/>
  <c r="X70" i="14"/>
  <c r="W70" i="14"/>
  <c r="AD69" i="14"/>
  <c r="AC69" i="14"/>
  <c r="AB69" i="14"/>
  <c r="AA69" i="14"/>
  <c r="Z69" i="14"/>
  <c r="Y69" i="14"/>
  <c r="X69" i="14"/>
  <c r="W69" i="14"/>
  <c r="AD68" i="14"/>
  <c r="AC68" i="14"/>
  <c r="AB68" i="14"/>
  <c r="AA68" i="14"/>
  <c r="Z68" i="14"/>
  <c r="Y68" i="14"/>
  <c r="X68" i="14"/>
  <c r="W68" i="14"/>
  <c r="AD67" i="14"/>
  <c r="AC67" i="14"/>
  <c r="AB67" i="14"/>
  <c r="AA67" i="14"/>
  <c r="Z67" i="14"/>
  <c r="Y67" i="14"/>
  <c r="X67" i="14"/>
  <c r="W67" i="14"/>
  <c r="AD66" i="14"/>
  <c r="AC66" i="14"/>
  <c r="AB66" i="14"/>
  <c r="AA66" i="14"/>
  <c r="Z66" i="14"/>
  <c r="Y66" i="14"/>
  <c r="X66" i="14"/>
  <c r="W66" i="14"/>
  <c r="AD65" i="14"/>
  <c r="AC65" i="14"/>
  <c r="AB65" i="14"/>
  <c r="AA65" i="14"/>
  <c r="Z65" i="14"/>
  <c r="Y65" i="14"/>
  <c r="X65" i="14"/>
  <c r="W65" i="14"/>
  <c r="AD64" i="14"/>
  <c r="AC64" i="14"/>
  <c r="AB64" i="14"/>
  <c r="AA64" i="14"/>
  <c r="Z64" i="14"/>
  <c r="Y64" i="14"/>
  <c r="X64" i="14"/>
  <c r="W64" i="14"/>
  <c r="AD63" i="14"/>
  <c r="AC63" i="14"/>
  <c r="AB63" i="14"/>
  <c r="AA63" i="14"/>
  <c r="Z63" i="14"/>
  <c r="Y63" i="14"/>
  <c r="X63" i="14"/>
  <c r="W63" i="14"/>
  <c r="AD62" i="14"/>
  <c r="AC62" i="14"/>
  <c r="AB62" i="14"/>
  <c r="AA62" i="14"/>
  <c r="Z62" i="14"/>
  <c r="Y62" i="14"/>
  <c r="X62" i="14"/>
  <c r="W62" i="14"/>
  <c r="AD61" i="14"/>
  <c r="AC61" i="14"/>
  <c r="AB61" i="14"/>
  <c r="AA61" i="14"/>
  <c r="Z61" i="14"/>
  <c r="Y61" i="14"/>
  <c r="X61" i="14"/>
  <c r="W61" i="14"/>
  <c r="AD60" i="14"/>
  <c r="AC60" i="14"/>
  <c r="AB60" i="14"/>
  <c r="AA60" i="14"/>
  <c r="Z60" i="14"/>
  <c r="Y60" i="14"/>
  <c r="X60" i="14"/>
  <c r="W60" i="14"/>
  <c r="AD59" i="14"/>
  <c r="AC59" i="14"/>
  <c r="AB59" i="14"/>
  <c r="AA59" i="14"/>
  <c r="Z59" i="14"/>
  <c r="Y59" i="14"/>
  <c r="X59" i="14"/>
  <c r="W59" i="14"/>
  <c r="AD58" i="14"/>
  <c r="AC58" i="14"/>
  <c r="AB58" i="14"/>
  <c r="AA58" i="14"/>
  <c r="Z58" i="14"/>
  <c r="Y58" i="14"/>
  <c r="X58" i="14"/>
  <c r="W58" i="14"/>
  <c r="AD57" i="14"/>
  <c r="AC57" i="14"/>
  <c r="AB57" i="14"/>
  <c r="AA57" i="14"/>
  <c r="Z57" i="14"/>
  <c r="Y57" i="14"/>
  <c r="X57" i="14"/>
  <c r="W57" i="14"/>
  <c r="AD56" i="14"/>
  <c r="AC56" i="14"/>
  <c r="AB56" i="14"/>
  <c r="AA56" i="14"/>
  <c r="Z56" i="14"/>
  <c r="Y56" i="14"/>
  <c r="X56" i="14"/>
  <c r="W56" i="14"/>
  <c r="AD55" i="14"/>
  <c r="AC55" i="14"/>
  <c r="AB55" i="14"/>
  <c r="AA55" i="14"/>
  <c r="Z55" i="14"/>
  <c r="Y55" i="14"/>
  <c r="X55" i="14"/>
  <c r="W55" i="14"/>
  <c r="AD54" i="14"/>
  <c r="AC54" i="14"/>
  <c r="AB54" i="14"/>
  <c r="AA54" i="14"/>
  <c r="Z54" i="14"/>
  <c r="Y54" i="14"/>
  <c r="X54" i="14"/>
  <c r="W54" i="14"/>
  <c r="AD53" i="14"/>
  <c r="AC53" i="14"/>
  <c r="AB53" i="14"/>
  <c r="AA53" i="14"/>
  <c r="Z53" i="14"/>
  <c r="Y53" i="14"/>
  <c r="X53" i="14"/>
  <c r="W53" i="14"/>
  <c r="AD52" i="14"/>
  <c r="AC52" i="14"/>
  <c r="AB52" i="14"/>
  <c r="AA52" i="14"/>
  <c r="Z52" i="14"/>
  <c r="Y52" i="14"/>
  <c r="X52" i="14"/>
  <c r="W52" i="14"/>
  <c r="AD51" i="14"/>
  <c r="AC51" i="14"/>
  <c r="AB51" i="14"/>
  <c r="AA51" i="14"/>
  <c r="Z51" i="14"/>
  <c r="Y51" i="14"/>
  <c r="X51" i="14"/>
  <c r="W51" i="14"/>
  <c r="AD50" i="14"/>
  <c r="AC50" i="14"/>
  <c r="AB50" i="14"/>
  <c r="AA50" i="14"/>
  <c r="Z50" i="14"/>
  <c r="Y50" i="14"/>
  <c r="X50" i="14"/>
  <c r="W50" i="14"/>
  <c r="AD49" i="14"/>
  <c r="AC49" i="14"/>
  <c r="AB49" i="14"/>
  <c r="AA49" i="14"/>
  <c r="Z49" i="14"/>
  <c r="Y49" i="14"/>
  <c r="X49" i="14"/>
  <c r="W49" i="14"/>
  <c r="AD48" i="14"/>
  <c r="AC48" i="14"/>
  <c r="AB48" i="14"/>
  <c r="AA48" i="14"/>
  <c r="Z48" i="14"/>
  <c r="Y48" i="14"/>
  <c r="X48" i="14"/>
  <c r="W48" i="14"/>
  <c r="AD47" i="14"/>
  <c r="AC47" i="14"/>
  <c r="AB47" i="14"/>
  <c r="AA47" i="14"/>
  <c r="Z47" i="14"/>
  <c r="Y47" i="14"/>
  <c r="X47" i="14"/>
  <c r="W47" i="14"/>
  <c r="AD46" i="14"/>
  <c r="AC46" i="14"/>
  <c r="AB46" i="14"/>
  <c r="AA46" i="14"/>
  <c r="Z46" i="14"/>
  <c r="Y46" i="14"/>
  <c r="X46" i="14"/>
  <c r="W46" i="14"/>
  <c r="AD45" i="14"/>
  <c r="AC45" i="14"/>
  <c r="AB45" i="14"/>
  <c r="AA45" i="14"/>
  <c r="Z45" i="14"/>
  <c r="Y45" i="14"/>
  <c r="X45" i="14"/>
  <c r="W45" i="14"/>
  <c r="AD44" i="14"/>
  <c r="AC44" i="14"/>
  <c r="AB44" i="14"/>
  <c r="AA44" i="14"/>
  <c r="Z44" i="14"/>
  <c r="Y44" i="14"/>
  <c r="X44" i="14"/>
  <c r="W44" i="14"/>
  <c r="AD43" i="14"/>
  <c r="AC43" i="14"/>
  <c r="AB43" i="14"/>
  <c r="AA43" i="14"/>
  <c r="Z43" i="14"/>
  <c r="Y43" i="14"/>
  <c r="X43" i="14"/>
  <c r="W43" i="14"/>
  <c r="AD42" i="14"/>
  <c r="AC42" i="14"/>
  <c r="AB42" i="14"/>
  <c r="AA42" i="14"/>
  <c r="Z42" i="14"/>
  <c r="Y42" i="14"/>
  <c r="X42" i="14"/>
  <c r="W42" i="14"/>
  <c r="AD41" i="14"/>
  <c r="AC41" i="14"/>
  <c r="AB41" i="14"/>
  <c r="AA41" i="14"/>
  <c r="Z41" i="14"/>
  <c r="Y41" i="14"/>
  <c r="X41" i="14"/>
  <c r="W41" i="14"/>
  <c r="AD40" i="14"/>
  <c r="AC40" i="14"/>
  <c r="AB40" i="14"/>
  <c r="AA40" i="14"/>
  <c r="Z40" i="14"/>
  <c r="Y40" i="14"/>
  <c r="X40" i="14"/>
  <c r="W40" i="14"/>
  <c r="AD39" i="14"/>
  <c r="AC39" i="14"/>
  <c r="AB39" i="14"/>
  <c r="AA39" i="14"/>
  <c r="Z39" i="14"/>
  <c r="Y39" i="14"/>
  <c r="X39" i="14"/>
  <c r="W39" i="14"/>
  <c r="AD38" i="14"/>
  <c r="AC38" i="14"/>
  <c r="AB38" i="14"/>
  <c r="AA38" i="14"/>
  <c r="Z38" i="14"/>
  <c r="Y38" i="14"/>
  <c r="X38" i="14"/>
  <c r="W38" i="14"/>
  <c r="AD37" i="14"/>
  <c r="AC37" i="14"/>
  <c r="AB37" i="14"/>
  <c r="AA37" i="14"/>
  <c r="Z37" i="14"/>
  <c r="Y37" i="14"/>
  <c r="X37" i="14"/>
  <c r="W37" i="14"/>
  <c r="AD36" i="14"/>
  <c r="AC36" i="14"/>
  <c r="AB36" i="14"/>
  <c r="AA36" i="14"/>
  <c r="Z36" i="14"/>
  <c r="Y36" i="14"/>
  <c r="X36" i="14"/>
  <c r="W36" i="14"/>
  <c r="AD35" i="14"/>
  <c r="AC35" i="14"/>
  <c r="AB35" i="14"/>
  <c r="AA35" i="14"/>
  <c r="Z35" i="14"/>
  <c r="Y35" i="14"/>
  <c r="X35" i="14"/>
  <c r="W35" i="14"/>
  <c r="AD34" i="14"/>
  <c r="AC34" i="14"/>
  <c r="AB34" i="14"/>
  <c r="AA34" i="14"/>
  <c r="Z34" i="14"/>
  <c r="Y34" i="14"/>
  <c r="X34" i="14"/>
  <c r="W34" i="14"/>
  <c r="AD33" i="14"/>
  <c r="AC33" i="14"/>
  <c r="AB33" i="14"/>
  <c r="AA33" i="14"/>
  <c r="Z33" i="14"/>
  <c r="Y33" i="14"/>
  <c r="X33" i="14"/>
  <c r="W33" i="14"/>
  <c r="AD32" i="14"/>
  <c r="AC32" i="14"/>
  <c r="AB32" i="14"/>
  <c r="AA32" i="14"/>
  <c r="Z32" i="14"/>
  <c r="Y32" i="14"/>
  <c r="X32" i="14"/>
  <c r="W32" i="14"/>
  <c r="AD31" i="14"/>
  <c r="AC31" i="14"/>
  <c r="AB31" i="14"/>
  <c r="AA31" i="14"/>
  <c r="Z31" i="14"/>
  <c r="Y31" i="14"/>
  <c r="X31" i="14"/>
  <c r="W31" i="14"/>
  <c r="AD30" i="14"/>
  <c r="AC30" i="14"/>
  <c r="AB30" i="14"/>
  <c r="AA30" i="14"/>
  <c r="Z30" i="14"/>
  <c r="Y30" i="14"/>
  <c r="X30" i="14"/>
  <c r="W30" i="14"/>
  <c r="AD29" i="14"/>
  <c r="AC29" i="14"/>
  <c r="AB29" i="14"/>
  <c r="AA29" i="14"/>
  <c r="Z29" i="14"/>
  <c r="Y29" i="14"/>
  <c r="X29" i="14"/>
  <c r="W29" i="14"/>
  <c r="AD28" i="14"/>
  <c r="AC28" i="14"/>
  <c r="AB28" i="14"/>
  <c r="AA28" i="14"/>
  <c r="Z28" i="14"/>
  <c r="Y28" i="14"/>
  <c r="X28" i="14"/>
  <c r="W28" i="14"/>
  <c r="AD27" i="14"/>
  <c r="AC27" i="14"/>
  <c r="AB27" i="14"/>
  <c r="AA27" i="14"/>
  <c r="Z27" i="14"/>
  <c r="Y27" i="14"/>
  <c r="X27" i="14"/>
  <c r="W27" i="14"/>
  <c r="AD26" i="14"/>
  <c r="AC26" i="14"/>
  <c r="AB26" i="14"/>
  <c r="AA26" i="14"/>
  <c r="Z26" i="14"/>
  <c r="Y26" i="14"/>
  <c r="X26" i="14"/>
  <c r="W26" i="14"/>
  <c r="AD25" i="14"/>
  <c r="AC25" i="14"/>
  <c r="AB25" i="14"/>
  <c r="AA25" i="14"/>
  <c r="Z25" i="14"/>
  <c r="Y25" i="14"/>
  <c r="X25" i="14"/>
  <c r="W25" i="14"/>
  <c r="AD24" i="14"/>
  <c r="AC24" i="14"/>
  <c r="AB24" i="14"/>
  <c r="AA24" i="14"/>
  <c r="Z24" i="14"/>
  <c r="Y24" i="14"/>
  <c r="X24" i="14"/>
  <c r="W24" i="14"/>
  <c r="AD23" i="14"/>
  <c r="AC23" i="14"/>
  <c r="AB23" i="14"/>
  <c r="AA23" i="14"/>
  <c r="Z23" i="14"/>
  <c r="Y23" i="14"/>
  <c r="X23" i="14"/>
  <c r="W23" i="14"/>
  <c r="AD22" i="14"/>
  <c r="AC22" i="14"/>
  <c r="AB22" i="14"/>
  <c r="AA22" i="14"/>
  <c r="Z22" i="14"/>
  <c r="Y22" i="14"/>
  <c r="X22" i="14"/>
  <c r="W22" i="14"/>
  <c r="AD21" i="14"/>
  <c r="AC21" i="14"/>
  <c r="AB21" i="14"/>
  <c r="AA21" i="14"/>
  <c r="Z21" i="14"/>
  <c r="Y21" i="14"/>
  <c r="X21" i="14"/>
  <c r="W21" i="14"/>
  <c r="AD20" i="14"/>
  <c r="AC20" i="14"/>
  <c r="AB20" i="14"/>
  <c r="AA20" i="14"/>
  <c r="Z20" i="14"/>
  <c r="Y20" i="14"/>
  <c r="X20" i="14"/>
  <c r="W20" i="14"/>
  <c r="AD19" i="14"/>
  <c r="AC19" i="14"/>
  <c r="AB19" i="14"/>
  <c r="AA19" i="14"/>
  <c r="Z19" i="14"/>
  <c r="Y19" i="14"/>
  <c r="X19" i="14"/>
  <c r="W19" i="14"/>
  <c r="AD18" i="14"/>
  <c r="AC18" i="14"/>
  <c r="AB18" i="14"/>
  <c r="AA18" i="14"/>
  <c r="Z18" i="14"/>
  <c r="Y18" i="14"/>
  <c r="X18" i="14"/>
  <c r="W18" i="14"/>
  <c r="AD17" i="14"/>
  <c r="AC17" i="14"/>
  <c r="AB17" i="14"/>
  <c r="AA17" i="14"/>
  <c r="Z17" i="14"/>
  <c r="Y17" i="14"/>
  <c r="X17" i="14"/>
  <c r="W17" i="14"/>
  <c r="AD16" i="14"/>
  <c r="AC16" i="14"/>
  <c r="AB16" i="14"/>
  <c r="AA16" i="14"/>
  <c r="Z16" i="14"/>
  <c r="Y16" i="14"/>
  <c r="X16" i="14"/>
  <c r="W16" i="14"/>
  <c r="AD15" i="14"/>
  <c r="AC15" i="14"/>
  <c r="AB15" i="14"/>
  <c r="AA15" i="14"/>
  <c r="Z15" i="14"/>
  <c r="Y15" i="14"/>
  <c r="X15" i="14"/>
  <c r="W15" i="14"/>
  <c r="AD14" i="14"/>
  <c r="AC14" i="14"/>
  <c r="AB14" i="14"/>
  <c r="AA14" i="14"/>
  <c r="Z14" i="14"/>
  <c r="Y14" i="14"/>
  <c r="X14" i="14"/>
  <c r="AD13" i="14"/>
  <c r="AC13" i="14"/>
  <c r="AB13" i="14"/>
  <c r="AA13" i="14"/>
  <c r="Z13" i="14"/>
  <c r="Y13" i="14"/>
  <c r="X13" i="14"/>
  <c r="W14" i="14"/>
  <c r="W13" i="14"/>
  <c r="AH7" i="11" l="1"/>
  <c r="AH8" i="11"/>
  <c r="AH9" i="11"/>
  <c r="G1" i="14"/>
  <c r="D1" i="14"/>
  <c r="J1" i="14"/>
  <c r="C5" i="14"/>
  <c r="C6" i="14"/>
  <c r="C7" i="14"/>
  <c r="C8" i="14"/>
  <c r="AE3" i="11" l="1"/>
  <c r="AE2" i="11"/>
  <c r="AE4" i="11"/>
  <c r="Z29" i="24" l="1"/>
  <c r="AA26" i="24" l="1"/>
  <c r="AB26" i="24" s="1"/>
  <c r="AA25" i="24"/>
  <c r="AB25" i="24" s="1"/>
  <c r="AA27" i="24"/>
  <c r="AB27" i="24" s="1"/>
  <c r="AA28" i="24"/>
  <c r="AB28" i="24" s="1"/>
  <c r="I6" i="14"/>
  <c r="I5" i="14"/>
  <c r="I4" i="14"/>
  <c r="I3" i="14"/>
  <c r="I2" i="14"/>
  <c r="I1" i="14"/>
  <c r="F7" i="14"/>
  <c r="F6" i="14"/>
  <c r="F5" i="14"/>
  <c r="F4" i="14"/>
  <c r="F3" i="14"/>
  <c r="F2" i="14"/>
  <c r="F1" i="14"/>
  <c r="L2" i="14"/>
  <c r="AA29" i="24" l="1"/>
  <c r="F7" i="13" l="1"/>
  <c r="I7" i="13" s="1"/>
  <c r="F4" i="13"/>
  <c r="I4" i="13" s="1"/>
  <c r="F6" i="13"/>
  <c r="I6" i="13" s="1"/>
  <c r="F5" i="13"/>
  <c r="I5"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A3E41E9-C3F6-4F0E-B7BD-7F52C217F7AB}" keepAlive="1" name="Query - Database" description="Connection to the 'Database' query in the workbook." type="5" refreshedVersion="8" background="1" saveData="1">
    <dbPr connection="Provider=Microsoft.Mashup.OleDb.1;Data Source=$Workbook$;Location=Database;Extended Properties=&quot;&quot;" command="SELECT * FROM [Database]"/>
  </connection>
  <connection id="2" xr16:uid="{DAB758C3-47B9-4019-903B-AE70251C7CA1}"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B302CAB2-20E3-450F-A08F-BF2B19A5DD7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6E4191B4-2285-46E2-9785-30111560EB55}"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70EB8AEE-0B5F-495E-B5F1-7FDFAA15F473}"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<sst xmlns="http://schemas.openxmlformats.org/spreadsheetml/2006/main" count="20419" uniqueCount="262">
  <si>
    <t>Sr</t>
  </si>
  <si>
    <t>Client Name</t>
  </si>
  <si>
    <t xml:space="preserve">Partner </t>
  </si>
  <si>
    <t>Priority</t>
  </si>
  <si>
    <t>Client type</t>
  </si>
  <si>
    <t>Year End</t>
  </si>
  <si>
    <t>ITGC</t>
  </si>
  <si>
    <t>ITAC</t>
  </si>
  <si>
    <t>IPE</t>
  </si>
  <si>
    <t>ERP</t>
  </si>
  <si>
    <t>Comments</t>
  </si>
  <si>
    <t>II</t>
  </si>
  <si>
    <t>III</t>
  </si>
  <si>
    <t>Other clients (LLP/ Trust/ etc.)</t>
  </si>
  <si>
    <t>I</t>
  </si>
  <si>
    <t>Bank/ NBFC</t>
  </si>
  <si>
    <t>Other Corporates- Non ICoFR</t>
  </si>
  <si>
    <t>Large Corporates- Complex</t>
  </si>
  <si>
    <t>Listed</t>
  </si>
  <si>
    <t>Year end</t>
  </si>
  <si>
    <t>Row Labels</t>
  </si>
  <si>
    <t>Grand Total</t>
  </si>
  <si>
    <t>Not Applicable</t>
  </si>
  <si>
    <t>Completed</t>
  </si>
  <si>
    <t>Overall Status</t>
  </si>
  <si>
    <t>(blank)</t>
  </si>
  <si>
    <t>Username</t>
  </si>
  <si>
    <t>Date</t>
  </si>
  <si>
    <t>Time</t>
  </si>
  <si>
    <t>Financial Year:</t>
  </si>
  <si>
    <t>Enter Path  to save pdf:</t>
  </si>
  <si>
    <t>Total</t>
  </si>
  <si>
    <t>Partner Group :</t>
  </si>
  <si>
    <t>Last Saved Info:</t>
  </si>
  <si>
    <t>Enter path to upload excel:</t>
  </si>
  <si>
    <t>Date :</t>
  </si>
  <si>
    <t>Enter path to make copy of dashboard:</t>
  </si>
  <si>
    <t>Group</t>
  </si>
  <si>
    <t>Corporates- ICoFR</t>
  </si>
  <si>
    <t>Status</t>
  </si>
  <si>
    <t>Not commenced</t>
  </si>
  <si>
    <t>Work in progress</t>
  </si>
  <si>
    <t>Client Type</t>
  </si>
  <si>
    <t>Start Month</t>
  </si>
  <si>
    <t>End Month</t>
  </si>
  <si>
    <t>Work In Progress</t>
  </si>
  <si>
    <t>31-Dec</t>
  </si>
  <si>
    <t>May-23</t>
  </si>
  <si>
    <t>Jul-23</t>
  </si>
  <si>
    <t>Jun-23</t>
  </si>
  <si>
    <t>Aug-23</t>
  </si>
  <si>
    <t>31-Mar</t>
  </si>
  <si>
    <t>Oct-22</t>
  </si>
  <si>
    <t>Mar-23</t>
  </si>
  <si>
    <t>Jan-23</t>
  </si>
  <si>
    <t>Dec-22</t>
  </si>
  <si>
    <t>Nov-22</t>
  </si>
  <si>
    <t>30-Jun</t>
  </si>
  <si>
    <t>Apr-23</t>
  </si>
  <si>
    <t>Apr-22</t>
  </si>
  <si>
    <t>Feb-23</t>
  </si>
  <si>
    <t>.</t>
  </si>
  <si>
    <t>Admin</t>
  </si>
  <si>
    <t>&lt;Your Company name&gt;</t>
  </si>
  <si>
    <t>&lt;Activity name&gt;</t>
  </si>
  <si>
    <t>Bechtelar - Hoeger</t>
  </si>
  <si>
    <t>Murazik, Kohler and Trantow</t>
  </si>
  <si>
    <t>Jones, Crona and Mraz</t>
  </si>
  <si>
    <t>Berge - Schoen</t>
  </si>
  <si>
    <t>Corkery Inc</t>
  </si>
  <si>
    <t>Windler - Murphy</t>
  </si>
  <si>
    <t>Maggio - Yost</t>
  </si>
  <si>
    <t>Erdman - Auer</t>
  </si>
  <si>
    <t>Prosacco Group</t>
  </si>
  <si>
    <t>Crooks, Quigley and Runte</t>
  </si>
  <si>
    <t>Konopelski Group</t>
  </si>
  <si>
    <t>Yost Group</t>
  </si>
  <si>
    <t>Metz - Greenfelder</t>
  </si>
  <si>
    <t>Pouros - Collier</t>
  </si>
  <si>
    <t>Hane, Zboncak and Schmitt</t>
  </si>
  <si>
    <t>Kling LLC</t>
  </si>
  <si>
    <t>Jaskolski - Gutkowski</t>
  </si>
  <si>
    <t>Sanford - Mayer</t>
  </si>
  <si>
    <t>Becker, West and Terry</t>
  </si>
  <si>
    <t>Dickinson Inc</t>
  </si>
  <si>
    <t>Altenwerth Group</t>
  </si>
  <si>
    <t>Heaney Inc</t>
  </si>
  <si>
    <t>Ortiz - Cole</t>
  </si>
  <si>
    <t>Morar, Langworth and Jenkins</t>
  </si>
  <si>
    <t>Hamill and Sons</t>
  </si>
  <si>
    <t>Stark, Nader and Kertzmann</t>
  </si>
  <si>
    <t>Jacobs, Robel and DuBuque</t>
  </si>
  <si>
    <t>Boehm, Kertzmann and Blick</t>
  </si>
  <si>
    <t>Ziemann, Corkery and Daugherty</t>
  </si>
  <si>
    <t>Wunsch - Franecki</t>
  </si>
  <si>
    <t>Crona Group</t>
  </si>
  <si>
    <t>Fadel, Miller and MacGyver</t>
  </si>
  <si>
    <t>Will - Kemmer</t>
  </si>
  <si>
    <t>Leffler, Weimann and Donnelly</t>
  </si>
  <si>
    <t>Botsford, Beer and Mann</t>
  </si>
  <si>
    <t>Breitenberg, Okuneva and Gerhold</t>
  </si>
  <si>
    <t>Feest LLC</t>
  </si>
  <si>
    <t>Langosh - Becker</t>
  </si>
  <si>
    <t>Deckow, Brown and Hermiston</t>
  </si>
  <si>
    <t>Schowalter, Willms and Blanda</t>
  </si>
  <si>
    <t>Rau, Marks and Price</t>
  </si>
  <si>
    <t>Effertz, Beer and Kassulke</t>
  </si>
  <si>
    <t>Boehm Group</t>
  </si>
  <si>
    <t>Kuvalis, Kohler and West</t>
  </si>
  <si>
    <t>Steuber Group</t>
  </si>
  <si>
    <t>Rice - Abbott</t>
  </si>
  <si>
    <t>Bogisich - Johns</t>
  </si>
  <si>
    <t>Durgan - Ebert</t>
  </si>
  <si>
    <t>Klocko, Stanton and O'Conner</t>
  </si>
  <si>
    <t>Shields LLC</t>
  </si>
  <si>
    <t>Kuvalis - Langworth</t>
  </si>
  <si>
    <t>Gleason LLC</t>
  </si>
  <si>
    <t>Reynolds Group</t>
  </si>
  <si>
    <t>Smith, Kunde and Herzog</t>
  </si>
  <si>
    <t>Kshlerin, Steuber and Franecki</t>
  </si>
  <si>
    <t>Watsica Group</t>
  </si>
  <si>
    <t>Reichert, Marquardt and Price</t>
  </si>
  <si>
    <t>Koepp, Farrell and Von</t>
  </si>
  <si>
    <t>McLaughlin - Pacocha</t>
  </si>
  <si>
    <t>Murphy, Maggio and Bahringer</t>
  </si>
  <si>
    <t>Littel, Cronin and Langosh</t>
  </si>
  <si>
    <t>Quigley Inc</t>
  </si>
  <si>
    <t>Kilback - Donnelly</t>
  </si>
  <si>
    <t>Metz, Gulgowski and Friesen</t>
  </si>
  <si>
    <t>Fay, Hand and Turcotte</t>
  </si>
  <si>
    <t>Lindgren - Blanda</t>
  </si>
  <si>
    <t>Brekke - Schmeler</t>
  </si>
  <si>
    <t>Bailey - Wisoky</t>
  </si>
  <si>
    <t>Lehner - Reinger</t>
  </si>
  <si>
    <t>Schuster, Lind and Schmeler</t>
  </si>
  <si>
    <t>Sporer - Olson</t>
  </si>
  <si>
    <t>Schmeler, Kunze and Williamson</t>
  </si>
  <si>
    <t>Jaskolski LLC</t>
  </si>
  <si>
    <t>Macejkovic Inc</t>
  </si>
  <si>
    <t>Welch - Kerluke</t>
  </si>
  <si>
    <t>Raynor and Sons</t>
  </si>
  <si>
    <t>Mertz Group</t>
  </si>
  <si>
    <t>Parisian, Hettinger and Hirthe</t>
  </si>
  <si>
    <t>Prosacco - Harvey</t>
  </si>
  <si>
    <t>Kutch, Haag and Moen</t>
  </si>
  <si>
    <t>Schuppe - Grant</t>
  </si>
  <si>
    <t>Wyman Group</t>
  </si>
  <si>
    <t>Kuhic - Block</t>
  </si>
  <si>
    <t>Thompson LLC</t>
  </si>
  <si>
    <t>Bauch - Lockman</t>
  </si>
  <si>
    <t>Gutmann, Rempel and Buckridge</t>
  </si>
  <si>
    <t>Larson Group</t>
  </si>
  <si>
    <t>Schuppe - Breitenberg</t>
  </si>
  <si>
    <t>Kling - Kohler</t>
  </si>
  <si>
    <t>Zulauf and Sons</t>
  </si>
  <si>
    <t>Kassulke Inc</t>
  </si>
  <si>
    <t>Douglas - Stamm</t>
  </si>
  <si>
    <t>Beahan - Hamill</t>
  </si>
  <si>
    <t>Kirlin LLC</t>
  </si>
  <si>
    <t>Breitenberg - Brakus</t>
  </si>
  <si>
    <t>Hoppe - Jacobi</t>
  </si>
  <si>
    <t>Hansen, Ferry and Ward</t>
  </si>
  <si>
    <t>Gulgowski, Hickle and Morissette</t>
  </si>
  <si>
    <t>Boyer - Weber</t>
  </si>
  <si>
    <t>White, King and Tromp</t>
  </si>
  <si>
    <t>Murray - Bashirian</t>
  </si>
  <si>
    <t>Beahan and Sons</t>
  </si>
  <si>
    <t>Morissette Inc</t>
  </si>
  <si>
    <t>Runolfsdottir LLC</t>
  </si>
  <si>
    <t>Veum, Hermiston and Crooks</t>
  </si>
  <si>
    <t>Kris - Block</t>
  </si>
  <si>
    <t>Willms Inc</t>
  </si>
  <si>
    <t>Monahan, Tromp and Mann</t>
  </si>
  <si>
    <t>Spinka, Zulauf and Dibbert</t>
  </si>
  <si>
    <t>Kautzer, Ratke and Keeling</t>
  </si>
  <si>
    <t>Kessler Group</t>
  </si>
  <si>
    <t>Olson Inc</t>
  </si>
  <si>
    <t>Pollich, Towne and Von</t>
  </si>
  <si>
    <t>Rempel - Senger</t>
  </si>
  <si>
    <t>Wisozk, Cole and Haley</t>
  </si>
  <si>
    <t>Kreiger and Sons</t>
  </si>
  <si>
    <t>Franecki - Bauch</t>
  </si>
  <si>
    <t>Nikolaus Group</t>
  </si>
  <si>
    <t>Schaefer, Rolfson and Denesik</t>
  </si>
  <si>
    <t>Farrell - Gottlieb</t>
  </si>
  <si>
    <t>Grimes - Mosciski</t>
  </si>
  <si>
    <t>P1</t>
  </si>
  <si>
    <t>P2</t>
  </si>
  <si>
    <t>P3</t>
  </si>
  <si>
    <t>P4</t>
  </si>
  <si>
    <t>P5</t>
  </si>
  <si>
    <t>P6</t>
  </si>
  <si>
    <t>P7</t>
  </si>
  <si>
    <t>P8</t>
  </si>
  <si>
    <t>Yassine</t>
  </si>
  <si>
    <t>Kendrick</t>
  </si>
  <si>
    <t>Lincoln</t>
  </si>
  <si>
    <t>Areej</t>
  </si>
  <si>
    <t>Adalind</t>
  </si>
  <si>
    <t>Alycia</t>
  </si>
  <si>
    <t>Zymir</t>
  </si>
  <si>
    <t>Aly</t>
  </si>
  <si>
    <t>Jaycen</t>
  </si>
  <si>
    <t>Elie</t>
  </si>
  <si>
    <t>Zayyan</t>
  </si>
  <si>
    <t>Fulton Rye</t>
  </si>
  <si>
    <t>Aashna Winton</t>
  </si>
  <si>
    <t>Lanya Cadet</t>
  </si>
  <si>
    <t>Amarianna Chon</t>
  </si>
  <si>
    <t>Vivienne Pope</t>
  </si>
  <si>
    <t>Harlan Wideman</t>
  </si>
  <si>
    <t>Kooper Hairston</t>
  </si>
  <si>
    <t>Krislyn Gaspard</t>
  </si>
  <si>
    <t>Hensley Ashworth</t>
  </si>
  <si>
    <t>Leigha Wahl</t>
  </si>
  <si>
    <t>Audit manager</t>
  </si>
  <si>
    <t>Audit co-ordinator</t>
  </si>
  <si>
    <t>Lahna Bobadilla</t>
  </si>
  <si>
    <t>Status 1</t>
  </si>
  <si>
    <t>Status 2</t>
  </si>
  <si>
    <t>Status 3</t>
  </si>
  <si>
    <t>Step 1</t>
  </si>
  <si>
    <t>Step 2</t>
  </si>
  <si>
    <t>Step 3</t>
  </si>
  <si>
    <t>Step 4</t>
  </si>
  <si>
    <t>Step 5</t>
  </si>
  <si>
    <t>Step 6</t>
  </si>
  <si>
    <t>Step 7</t>
  </si>
  <si>
    <t>Step 8</t>
  </si>
  <si>
    <t>Step 9</t>
  </si>
  <si>
    <t>Adaxa Suite</t>
  </si>
  <si>
    <t>Adempiere</t>
  </si>
  <si>
    <t>Apache OFBiz</t>
  </si>
  <si>
    <t>Compiere</t>
  </si>
  <si>
    <t>Dolibarr</t>
  </si>
  <si>
    <t>Epesi</t>
  </si>
  <si>
    <t>ERP5</t>
  </si>
  <si>
    <t>ERPNext</t>
  </si>
  <si>
    <t>HeliumV</t>
  </si>
  <si>
    <t>iDempiere</t>
  </si>
  <si>
    <t>inoERP</t>
  </si>
  <si>
    <t>intarS</t>
  </si>
  <si>
    <t>Kuali</t>
  </si>
  <si>
    <t>LedgerSMB</t>
  </si>
  <si>
    <t>metasfresh</t>
  </si>
  <si>
    <t>Odoo</t>
  </si>
  <si>
    <t>SplendidCRM</t>
  </si>
  <si>
    <t>SQL-Ledger</t>
  </si>
  <si>
    <t>Tryton</t>
  </si>
  <si>
    <t>Engagement completed</t>
  </si>
  <si>
    <t>Engagement not started</t>
  </si>
  <si>
    <t>Engagement not applicable</t>
  </si>
  <si>
    <t>Status 1:</t>
  </si>
  <si>
    <t>Status 2:</t>
  </si>
  <si>
    <t>Status 3:</t>
  </si>
  <si>
    <t>&lt;Your company Logo&gt;</t>
  </si>
  <si>
    <t>&lt;company website&gt;</t>
  </si>
  <si>
    <t>&lt;company address&gt;</t>
  </si>
  <si>
    <t>Overall Partner group's Client Audit Status Report</t>
  </si>
  <si>
    <t>(All)</t>
  </si>
  <si>
    <t>&lt;Enter path of Onedrive&gt; (put "\" at th end)</t>
  </si>
  <si>
    <t>&lt;Enter path of Onedrive&gt; (put "/" at th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</si>
</sst>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mmm;@"/>
    <numFmt numFmtId="165" formatCode="[$-10409]hh:mm:ss\ AM/PM;@"/>
    <numFmt numFmtId="166" formatCode="[$-14009]dd/mm/yyyy;@"/>
  </numFmts>
  <fonts count="2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b/>
      <sz val="11"/>
      <color theme="1"/>
      <name val="Tahoma"/>
      <family val="2"/>
    </font>
    <font>
      <sz val="11"/>
      <color theme="1"/>
      <name val="Tahoma"/>
      <family val="2"/>
    </font>
    <font>
      <sz val="11"/>
      <name val="Tahoma"/>
      <family val="2"/>
    </font>
    <font>
      <b/>
      <sz val="11"/>
      <name val="Tahoma"/>
      <family val="2"/>
    </font>
    <font>
      <b/>
      <sz val="11"/>
      <color theme="1"/>
      <name val="Calibri"/>
      <family val="2"/>
      <scheme val="minor"/>
    </font>
    <font>
      <sz val="11"/>
      <color theme="0"/>
      <name val="Calibri"/>
      <family val="2"/>
      <scheme val="minor"/>
    </font>
    <font>
      <u/>
      <sz val="11"/>
      <color theme="10"/>
      <name val="Calibri"/>
      <family val="2"/>
      <scheme val="minor"/>
    </font>
    <font>
      <b/>
      <sz val="11"/>
      <color theme="10"/>
      <name val="Calibri"/>
      <family val="2"/>
      <scheme val="minor"/>
    </font>
    <font>
      <sz val="16"/>
      <color theme="1"/>
      <name val="Calibri"/>
      <family val="2"/>
      <scheme val="minor"/>
    </font>
    <font>
      <sz val="12"/>
      <color theme="1"/>
      <name val="Calibri"/>
      <family val="2"/>
      <scheme val="minor"/>
    </font>
    <font>
      <b/>
      <sz val="14"/>
      <color theme="1"/>
      <name val="Calibri"/>
      <family val="2"/>
      <scheme val="minor"/>
    </font>
    <font>
      <b/>
      <sz val="9"/>
      <color rgb="FF000000"/>
      <name val="Calibri"/>
      <family val="2"/>
    </font>
    <font>
      <b/>
      <sz val="12"/>
      <color theme="1"/>
      <name val="Calibri"/>
      <family val="2"/>
      <scheme val="minor"/>
    </font>
    <font>
      <sz val="10"/>
      <color rgb="FF000000"/>
      <name val="Calibri"/>
      <family val="2"/>
    </font>
    <font>
      <sz val="9"/>
      <color rgb="FF000000"/>
      <name val="Calibri"/>
      <family val="2"/>
    </font>
    <font>
      <sz val="12"/>
      <name val="Calibri"/>
      <family val="2"/>
      <scheme val="minor"/>
    </font>
    <font>
      <sz val="14"/>
      <color theme="1"/>
      <name val="Calibri"/>
      <family val="2"/>
      <scheme val="minor"/>
    </font>
    <font>
      <b/>
      <sz val="13"/>
      <color theme="1"/>
      <name val="Calibri"/>
      <family val="2"/>
      <scheme val="minor"/>
    </font>
    <font>
      <b/>
      <sz val="13"/>
      <color rgb="FF00B050"/>
      <name val="Calibri"/>
      <family val="2"/>
      <scheme val="minor"/>
    </font>
    <font>
      <b/>
      <sz val="13"/>
      <color rgb="FF00B0F0"/>
      <name val="Calibri"/>
      <family val="2"/>
      <scheme val="minor"/>
    </font>
    <font>
      <b/>
      <sz val="13"/>
      <color rgb="FF7030A0"/>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rgb="FF999999"/>
      </left>
      <right style="thin">
        <color rgb="FF999999"/>
      </right>
      <top style="thin">
        <color rgb="FF999999"/>
      </top>
      <bottom style="thin">
        <color rgb="FF99999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
      <left style="medium">
        <color theme="2" tint="-9.9978637043366805E-2"/>
      </left>
      <right/>
      <top/>
      <bottom/>
      <diagonal/>
    </border>
    <border>
      <left/>
      <right style="medium">
        <color theme="2" tint="-9.9978637043366805E-2"/>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right style="medium">
        <color theme="2" tint="-9.9978637043366805E-2"/>
      </right>
      <top/>
      <bottom style="medium">
        <color theme="2" tint="-9.9978637043366805E-2"/>
      </bottom>
      <diagonal/>
    </border>
  </borders>
  <cellStyleXfs count="6">
    <xf numFmtId="0" fontId="0" fillId="0" borderId="0"/>
    <xf numFmtId="0" fontId="1" fillId="0" borderId="0"/>
    <xf numFmtId="0" fontId="1" fillId="0" borderId="0"/>
    <xf numFmtId="0" fontId="1" fillId="0" borderId="0"/>
    <xf numFmtId="9" fontId="1" fillId="0" borderId="0" applyFont="0" applyFill="0" applyBorder="0" applyAlignment="0" applyProtection="0"/>
    <xf numFmtId="0" fontId="10" fillId="0" borderId="0" applyNumberFormat="0" applyFill="0" applyBorder="0" applyAlignment="0" applyProtection="0"/>
  </cellStyleXfs>
  <cellXfs count="105">
    <xf numFmtId="0" fontId="0" fillId="0" borderId="0" xfId="0"/>
    <xf numFmtId="164" fontId="3" fillId="0" borderId="1" xfId="0" applyNumberFormat="1" applyFont="1" applyBorder="1" applyAlignment="1">
      <alignment horizontal="center" vertical="top"/>
    </xf>
    <xf numFmtId="0" fontId="3" fillId="0" borderId="1" xfId="0" applyFont="1" applyBorder="1"/>
    <xf numFmtId="0" fontId="3" fillId="0" borderId="0" xfId="0" applyFont="1"/>
    <xf numFmtId="0" fontId="2" fillId="2" borderId="1" xfId="0" applyFont="1" applyFill="1" applyBorder="1" applyAlignment="1">
      <alignment vertical="top" wrapText="1"/>
    </xf>
    <xf numFmtId="0" fontId="4" fillId="0" borderId="0" xfId="0" applyFont="1" applyAlignment="1">
      <alignment horizontal="center" vertical="center" wrapText="1"/>
    </xf>
    <xf numFmtId="0" fontId="2" fillId="3" borderId="1" xfId="0" applyFont="1" applyFill="1" applyBorder="1"/>
    <xf numFmtId="0" fontId="2" fillId="2" borderId="0" xfId="0" applyFont="1" applyFill="1" applyAlignment="1">
      <alignment vertical="top" wrapText="1"/>
    </xf>
    <xf numFmtId="0" fontId="5" fillId="0" borderId="0" xfId="0" applyFont="1" applyAlignment="1">
      <alignment horizontal="center"/>
    </xf>
    <xf numFmtId="0" fontId="5" fillId="0" borderId="0" xfId="0" applyFont="1"/>
    <xf numFmtId="0" fontId="6" fillId="0" borderId="0" xfId="0" applyFont="1" applyAlignment="1" applyProtection="1">
      <alignment horizontal="center" vertical="top"/>
      <protection locked="0"/>
    </xf>
    <xf numFmtId="0" fontId="6" fillId="0" borderId="0" xfId="0" applyFont="1" applyAlignment="1" applyProtection="1">
      <alignment vertical="top"/>
      <protection locked="0"/>
    </xf>
    <xf numFmtId="0" fontId="7" fillId="0" borderId="0" xfId="0" applyFont="1" applyAlignment="1" applyProtection="1">
      <alignment horizontal="center" vertical="top"/>
      <protection locked="0"/>
    </xf>
    <xf numFmtId="0" fontId="6" fillId="0" borderId="0" xfId="0" applyFont="1" applyAlignment="1" applyProtection="1">
      <alignment horizontal="left" vertical="top"/>
      <protection locked="0"/>
    </xf>
    <xf numFmtId="164" fontId="3" fillId="0" borderId="0" xfId="0" applyNumberFormat="1" applyFont="1" applyAlignment="1">
      <alignment horizontal="center" vertical="top"/>
    </xf>
    <xf numFmtId="0" fontId="0" fillId="0" borderId="0" xfId="0" pivotButton="1"/>
    <xf numFmtId="0" fontId="0" fillId="0" borderId="0" xfId="0" applyAlignment="1">
      <alignment horizontal="left"/>
    </xf>
    <xf numFmtId="0" fontId="8" fillId="0" borderId="0" xfId="0" applyFont="1"/>
    <xf numFmtId="0" fontId="0" fillId="0" borderId="2" xfId="0" pivotButton="1" applyBorder="1"/>
    <xf numFmtId="9" fontId="0" fillId="0" borderId="0" xfId="4" applyFont="1"/>
    <xf numFmtId="14" fontId="0" fillId="0" borderId="0" xfId="0" applyNumberFormat="1"/>
    <xf numFmtId="166" fontId="0" fillId="0" borderId="0" xfId="0" applyNumberFormat="1"/>
    <xf numFmtId="165" fontId="0" fillId="0" borderId="0" xfId="0" applyNumberFormat="1"/>
    <xf numFmtId="0" fontId="12" fillId="0" borderId="0" xfId="0" applyFont="1"/>
    <xf numFmtId="14" fontId="12" fillId="0" borderId="0" xfId="0" applyNumberFormat="1" applyFont="1"/>
    <xf numFmtId="0" fontId="13" fillId="0" borderId="0" xfId="0" applyFont="1"/>
    <xf numFmtId="0" fontId="0" fillId="0" borderId="0" xfId="0" applyAlignment="1">
      <alignment wrapText="1"/>
    </xf>
    <xf numFmtId="0" fontId="10" fillId="0" borderId="0" xfId="5"/>
    <xf numFmtId="9" fontId="0" fillId="0" borderId="0" xfId="4" applyFont="1" applyProtection="1">
      <protection locked="0"/>
    </xf>
    <xf numFmtId="0" fontId="0" fillId="0" borderId="0" xfId="0" applyProtection="1">
      <protection locked="0"/>
    </xf>
    <xf numFmtId="0" fontId="8" fillId="0" borderId="0" xfId="0" applyFont="1" applyAlignment="1">
      <alignment horizontal="left"/>
    </xf>
    <xf numFmtId="0" fontId="0" fillId="0" borderId="0" xfId="0" applyAlignment="1">
      <alignment horizontal="center"/>
    </xf>
    <xf numFmtId="0" fontId="0" fillId="0" borderId="0" xfId="0" quotePrefix="1"/>
    <xf numFmtId="0" fontId="6" fillId="0" borderId="0" xfId="0" quotePrefix="1" applyFont="1" applyAlignment="1" applyProtection="1">
      <alignment vertical="top"/>
      <protection locked="0"/>
    </xf>
    <xf numFmtId="0" fontId="0" fillId="0" borderId="0" xfId="0" applyAlignment="1">
      <alignment vertical="top"/>
    </xf>
    <xf numFmtId="0" fontId="0" fillId="0" borderId="0" xfId="0" applyAlignment="1">
      <alignment vertical="center"/>
    </xf>
    <xf numFmtId="0" fontId="0" fillId="0" borderId="0" xfId="0" applyAlignment="1">
      <alignment vertical="top" wrapText="1"/>
    </xf>
    <xf numFmtId="0" fontId="3" fillId="0" borderId="1" xfId="0" applyFont="1" applyBorder="1" applyAlignment="1">
      <alignment wrapText="1"/>
    </xf>
    <xf numFmtId="0" fontId="3" fillId="0" borderId="0" xfId="0" applyFont="1" applyAlignment="1">
      <alignment wrapText="1"/>
    </xf>
    <xf numFmtId="166" fontId="0" fillId="0" borderId="0" xfId="0" applyNumberFormat="1" applyAlignment="1">
      <alignment horizontal="left"/>
    </xf>
    <xf numFmtId="165" fontId="0" fillId="0" borderId="0" xfId="0" applyNumberFormat="1" applyAlignment="1">
      <alignment horizontal="left"/>
    </xf>
    <xf numFmtId="0" fontId="11" fillId="0" borderId="0" xfId="5" applyFont="1" applyBorder="1" applyAlignment="1">
      <alignment horizontal="right"/>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8" fillId="0" borderId="0" xfId="0" applyFont="1" applyAlignment="1">
      <alignment wrapText="1"/>
    </xf>
    <xf numFmtId="0" fontId="8" fillId="0" borderId="0" xfId="0" applyFont="1" applyAlignment="1">
      <alignment vertical="top"/>
    </xf>
    <xf numFmtId="14" fontId="0" fillId="0" borderId="0" xfId="0" applyNumberFormat="1" applyAlignment="1">
      <alignment vertical="center" wrapText="1"/>
    </xf>
    <xf numFmtId="0" fontId="10" fillId="0" borderId="0" xfId="5" quotePrefix="1" applyBorder="1"/>
    <xf numFmtId="0" fontId="13" fillId="0" borderId="0" xfId="0" applyFont="1" applyProtection="1">
      <protection locked="0"/>
    </xf>
    <xf numFmtId="14" fontId="13" fillId="0" borderId="0" xfId="0" applyNumberFormat="1" applyFont="1" applyProtection="1">
      <protection locked="0"/>
    </xf>
    <xf numFmtId="14" fontId="0" fillId="0" borderId="0" xfId="0" applyNumberFormat="1" applyProtection="1">
      <protection locked="0"/>
    </xf>
    <xf numFmtId="0" fontId="6" fillId="0" borderId="0" xfId="0" applyFont="1" applyAlignment="1">
      <alignment horizontal="left" vertical="top"/>
    </xf>
    <xf numFmtId="0" fontId="3" fillId="0" borderId="0" xfId="0" applyFont="1" applyAlignment="1">
      <alignment vertical="top"/>
    </xf>
    <xf numFmtId="0" fontId="3" fillId="0" borderId="0" xfId="0" applyFont="1" applyAlignment="1">
      <alignment horizontal="left" vertical="top"/>
    </xf>
    <xf numFmtId="164" fontId="3" fillId="0" borderId="0" xfId="0" applyNumberFormat="1" applyFont="1" applyAlignment="1">
      <alignment horizontal="left" vertical="center"/>
    </xf>
    <xf numFmtId="0" fontId="6" fillId="0" borderId="0" xfId="0" applyFont="1" applyAlignment="1">
      <alignment horizontal="left"/>
    </xf>
    <xf numFmtId="17" fontId="3" fillId="0" borderId="0" xfId="0" applyNumberFormat="1" applyFont="1" applyAlignment="1">
      <alignment horizontal="left" vertical="top"/>
    </xf>
    <xf numFmtId="0" fontId="5" fillId="0" borderId="0" xfId="0" applyFont="1" applyAlignment="1">
      <alignment horizontal="left"/>
    </xf>
    <xf numFmtId="17" fontId="5" fillId="0" borderId="0" xfId="0" applyNumberFormat="1" applyFont="1" applyAlignment="1">
      <alignment horizontal="left"/>
    </xf>
    <xf numFmtId="0" fontId="4" fillId="0" borderId="0" xfId="0" applyFont="1" applyAlignment="1">
      <alignment horizontal="left" vertical="center" wrapText="1"/>
    </xf>
    <xf numFmtId="0" fontId="20" fillId="0" borderId="0" xfId="0" applyFont="1"/>
    <xf numFmtId="0" fontId="21" fillId="0" borderId="0" xfId="0" applyFont="1"/>
    <xf numFmtId="0" fontId="22" fillId="0" borderId="0" xfId="0" applyFont="1"/>
    <xf numFmtId="0" fontId="23" fillId="0" borderId="0" xfId="0" applyFont="1"/>
    <xf numFmtId="0" fontId="24" fillId="0" borderId="0" xfId="0" applyFont="1"/>
    <xf numFmtId="0" fontId="13" fillId="0" borderId="0" xfId="0" applyFont="1" applyAlignment="1">
      <alignment vertical="center"/>
    </xf>
    <xf numFmtId="0" fontId="19" fillId="0" borderId="0" xfId="0" applyFont="1"/>
    <xf numFmtId="0" fontId="5" fillId="0" borderId="0" xfId="0" applyFont="1" applyAlignment="1">
      <alignment horizontal="center" vertical="center" wrapText="1"/>
    </xf>
    <xf numFmtId="0" fontId="5" fillId="0" borderId="0" xfId="0" applyFont="1" applyAlignment="1">
      <alignment horizontal="center" vertical="center"/>
    </xf>
    <xf numFmtId="0" fontId="0" fillId="0" borderId="0" xfId="0" applyProtection="1">
      <protection hidden="1"/>
    </xf>
    <xf numFmtId="9" fontId="0" fillId="0" borderId="0" xfId="4" applyFont="1" applyProtection="1">
      <protection hidden="1"/>
    </xf>
    <xf numFmtId="9" fontId="0" fillId="0" borderId="0" xfId="0" applyNumberFormat="1" applyProtection="1">
      <protection hidden="1"/>
    </xf>
    <xf numFmtId="0" fontId="6" fillId="0" borderId="0" xfId="1" applyFont="1" applyAlignment="1">
      <alignment horizontal="left" vertical="top"/>
    </xf>
    <xf numFmtId="0" fontId="6" fillId="0" borderId="0" xfId="2" applyFont="1" applyAlignment="1">
      <alignment horizontal="left" vertical="top"/>
    </xf>
    <xf numFmtId="0" fontId="6" fillId="0" borderId="0" xfId="0" quotePrefix="1" applyFont="1" applyAlignment="1">
      <alignment horizontal="left" vertical="top"/>
    </xf>
    <xf numFmtId="0" fontId="9" fillId="4" borderId="0" xfId="0" applyFont="1" applyFill="1"/>
    <xf numFmtId="0" fontId="0" fillId="0" borderId="0" xfId="0"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0" xfId="0" applyFont="1" applyAlignment="1">
      <alignment horizontal="center"/>
    </xf>
    <xf numFmtId="0" fontId="16" fillId="0" borderId="0" xfId="0" applyFont="1" applyAlignment="1">
      <alignment horizontal="center"/>
    </xf>
    <xf numFmtId="0" fontId="21" fillId="0" borderId="0" xfId="0" applyFont="1" applyAlignment="1">
      <alignment horizontal="center"/>
    </xf>
    <xf numFmtId="0" fontId="0" fillId="0" borderId="0" xfId="0" applyAlignment="1">
      <alignment horizontal="center" vertical="center"/>
    </xf>
    <xf numFmtId="166" fontId="13" fillId="0" borderId="0" xfId="0" applyNumberFormat="1" applyFont="1" applyAlignment="1">
      <alignment horizontal="center"/>
    </xf>
    <xf numFmtId="165" fontId="13" fillId="0" borderId="0" xfId="0" applyNumberFormat="1" applyFont="1" applyAlignment="1">
      <alignment horizontal="center"/>
    </xf>
    <xf numFmtId="14" fontId="13" fillId="0" borderId="0" xfId="0" applyNumberFormat="1"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xf>
    <xf numFmtId="0" fontId="0" fillId="0" borderId="0" xfId="0" applyAlignment="1">
      <alignment horizontal="right" wrapText="1"/>
    </xf>
    <xf numFmtId="0" fontId="0" fillId="0" borderId="0" xfId="0" applyAlignment="1">
      <alignment horizontal="left"/>
    </xf>
    <xf numFmtId="0" fontId="11" fillId="0" borderId="0" xfId="5" applyFont="1" applyBorder="1" applyAlignment="1">
      <alignment horizontal="right"/>
    </xf>
    <xf numFmtId="0" fontId="10" fillId="0" borderId="0" xfId="5" applyAlignment="1" applyProtection="1">
      <alignment horizontal="left"/>
      <protection locked="0"/>
    </xf>
    <xf numFmtId="0" fontId="0" fillId="0" borderId="0" xfId="0" applyAlignment="1" applyProtection="1">
      <alignment horizontal="left"/>
      <protection locked="0"/>
    </xf>
    <xf numFmtId="0" fontId="14" fillId="0" borderId="0" xfId="0" applyFont="1" applyAlignment="1">
      <alignment horizontal="center" vertical="center"/>
    </xf>
    <xf numFmtId="0" fontId="0" fillId="0" borderId="1" xfId="0" applyBorder="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cellXfs>
  <cellStyles count="6">
    <cellStyle name="Hyperlink" xfId="5" builtinId="8"/>
    <cellStyle name="Normal" xfId="0" builtinId="0"/>
    <cellStyle name="Normal 10" xfId="1" xr:uid="{00000000-0005-0000-0000-000002000000}"/>
    <cellStyle name="Normal 11 2" xfId="2" xr:uid="{00000000-0005-0000-0000-000003000000}"/>
    <cellStyle name="Normal 2 7" xfId="3" xr:uid="{00000000-0005-0000-0000-000004000000}"/>
    <cellStyle name="Percent" xfId="4" builtinId="5"/>
  </cellStyles>
  <dxfs count="23">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protection locked="0" hidden="0"/>
    </dxf>
    <dxf>
      <font>
        <b val="0"/>
        <i val="0"/>
        <strike val="0"/>
        <condense val="0"/>
        <extend val="0"/>
        <outline val="0"/>
        <shadow val="0"/>
        <u val="none"/>
        <vertAlign val="baseline"/>
        <sz val="11"/>
        <color auto="1"/>
        <name val="Tahoma"/>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auto="1"/>
        <name val="Tahoma"/>
        <family val="2"/>
        <scheme val="none"/>
      </font>
      <alignment horizontal="left" vertical="top" textRotation="0" wrapText="0" indent="0" justifyLastLine="0" shrinkToFit="0" readingOrder="0"/>
    </dxf>
    <dxf>
      <font>
        <b/>
        <i val="0"/>
        <strike val="0"/>
        <condense val="0"/>
        <extend val="0"/>
        <outline val="0"/>
        <shadow val="0"/>
        <u val="none"/>
        <vertAlign val="baseline"/>
        <sz val="11"/>
        <color theme="1"/>
        <name val="Tahoma"/>
        <family val="2"/>
        <scheme val="none"/>
      </font>
      <alignment horizontal="left" vertical="center" textRotation="0" wrapText="1" indent="0" justifyLastLine="0" shrinkToFit="0" readingOrder="0"/>
    </dxf>
    <dxf>
      <border>
        <left/>
        <right/>
        <top/>
        <bottom/>
      </border>
    </dxf>
    <dxf>
      <font>
        <color theme="0"/>
      </font>
    </dxf>
    <dxf>
      <fill>
        <patternFill patternType="solid">
          <bgColor theme="0"/>
        </patternFill>
      </fill>
    </dxf>
    <dxf>
      <font>
        <b/>
        <color theme="1"/>
      </font>
      <border>
        <left/>
        <right/>
        <top/>
        <bottom/>
        <vertical/>
        <horizontal/>
      </border>
    </dxf>
    <dxf>
      <font>
        <color theme="1"/>
      </font>
      <border>
        <left/>
        <right/>
        <top/>
        <bottom/>
        <vertical/>
        <horizontal/>
      </border>
    </dxf>
  </dxfs>
  <tableStyles count="2" defaultTableStyle="TableStyleMedium2" defaultPivotStyle="PivotStyleLight16">
    <tableStyle name="PivotTable Style 1" table="0" count="0" xr9:uid="{00000000-0011-0000-FFFF-FFFF00000000}"/>
    <tableStyle name="SlicerStyleOther1 2" pivot="0" table="0" count="10" xr9:uid="{00000000-0011-0000-FFFF-FFFF01000000}">
      <tableStyleElement type="wholeTable" dxfId="22"/>
      <tableStyleElement type="headerRow" dxfId="21"/>
    </tableStyle>
  </tableStyles>
  <colors>
    <mruColors>
      <color rgb="FFCC0000"/>
      <color rgb="FFFF0000"/>
    </mruColors>
  </colors>
  <extLst>
    <ext xmlns:x14="http://schemas.microsoft.com/office/spreadsheetml/2009/9/main" uri="{46F421CA-312F-682f-3DD2-61675219B42D}">
      <x14:dxfs count="8">
        <dxf>
          <font>
            <color rgb="FF000000"/>
          </font>
          <fill>
            <patternFill patternType="solid">
              <fgColor auto="1"/>
              <bgColor theme="4"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39994506668294322"/>
            </pattern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6795556505021"/>
              <bgColor theme="8" tint="0.3999450666829432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8"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7/relationships/slicerCache" Target="slicerCaches/slicerCache6.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5" Type="http://schemas.openxmlformats.org/officeDocument/2006/relationships/customXml" Target="../customXml/item2.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799501377939335E-3"/>
          <c:y val="9.414019368268621E-2"/>
          <c:w val="0.57007809999359826"/>
          <c:h val="0.80597248619784589"/>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3-C9CF-4762-A8AA-BCB775095669}"/>
              </c:ext>
            </c:extLst>
          </c:dPt>
          <c:dPt>
            <c:idx val="1"/>
            <c:bubble3D val="0"/>
            <c:spPr>
              <a:solidFill>
                <a:srgbClr val="CC0000"/>
              </a:solidFill>
              <a:ln w="19050">
                <a:solidFill>
                  <a:schemeClr val="lt1"/>
                </a:solidFill>
              </a:ln>
              <a:effectLst/>
            </c:spPr>
            <c:extLst>
              <c:ext xmlns:c16="http://schemas.microsoft.com/office/drawing/2014/chart" uri="{C3380CC4-5D6E-409C-BE32-E72D297353CC}">
                <c16:uniqueId val="{00000001-C9CF-4762-A8AA-BCB775095669}"/>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2-C9CF-4762-A8AA-BCB775095669}"/>
              </c:ext>
            </c:extLst>
          </c:dPt>
          <c:dPt>
            <c:idx val="3"/>
            <c:bubble3D val="0"/>
            <c:spPr>
              <a:solidFill>
                <a:srgbClr val="0070C0"/>
              </a:solidFill>
              <a:ln w="19050">
                <a:solidFill>
                  <a:schemeClr val="lt1"/>
                </a:solidFill>
              </a:ln>
              <a:effectLst/>
            </c:spPr>
            <c:extLst>
              <c:ext xmlns:c16="http://schemas.microsoft.com/office/drawing/2014/chart" uri="{C3380CC4-5D6E-409C-BE32-E72D297353CC}">
                <c16:uniqueId val="{00000006-3169-461E-ADE1-413BCD4F8474}"/>
              </c:ext>
            </c:extLst>
          </c:dPt>
          <c:cat>
            <c:strRef>
              <c:f>'Pivot 2(Completion Status)'!$E$4:$E$7</c:f>
              <c:strCache>
                <c:ptCount val="4"/>
                <c:pt idx="0">
                  <c:v>Completed</c:v>
                </c:pt>
                <c:pt idx="1">
                  <c:v>Not commenced</c:v>
                </c:pt>
                <c:pt idx="2">
                  <c:v>Not Applicable</c:v>
                </c:pt>
                <c:pt idx="3">
                  <c:v>Work in progress</c:v>
                </c:pt>
              </c:strCache>
            </c:strRef>
          </c:cat>
          <c:val>
            <c:numRef>
              <c:f>'Pivot 2(Completion Status)'!$F$4:$F$7</c:f>
              <c:numCache>
                <c:formatCode>0%</c:formatCode>
                <c:ptCount val="4"/>
                <c:pt idx="0">
                  <c:v>8.2644628099173556E-3</c:v>
                </c:pt>
                <c:pt idx="1">
                  <c:v>1.6528925619834711E-2</c:v>
                </c:pt>
                <c:pt idx="2">
                  <c:v>#N/A</c:v>
                </c:pt>
                <c:pt idx="3">
                  <c:v>0.97520661157024791</c:v>
                </c:pt>
              </c:numCache>
            </c:numRef>
          </c:val>
          <c:extLst>
            <c:ext xmlns:c16="http://schemas.microsoft.com/office/drawing/2014/chart" uri="{C3380CC4-5D6E-409C-BE32-E72D297353CC}">
              <c16:uniqueId val="{00000000-C9CF-4762-A8AA-BCB775095669}"/>
            </c:ext>
          </c:extLst>
        </c:ser>
        <c:dLbls>
          <c:showLegendKey val="0"/>
          <c:showVal val="0"/>
          <c:showCatName val="0"/>
          <c:showSerName val="0"/>
          <c:showPercent val="0"/>
          <c:showBubbleSize val="0"/>
          <c:showLeaderLines val="1"/>
        </c:dLbls>
        <c:firstSliceAng val="0"/>
        <c:holeSize val="83"/>
      </c:doughnutChart>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egendEntry>
        <c:idx val="3"/>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54528023749873589"/>
          <c:y val="2.4447118526430594E-2"/>
          <c:w val="0.32497523791058353"/>
          <c:h val="0.95115214046520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76200" cap="rnd">
              <a:solidFill>
                <a:schemeClr val="accent1"/>
              </a:solidFill>
              <a:round/>
            </a:ln>
            <a:effectLst/>
          </c:spPr>
          <c:marker>
            <c:symbol val="circle"/>
            <c:size val="10"/>
            <c:spPr>
              <a:solidFill>
                <a:srgbClr val="002060"/>
              </a:solidFill>
              <a:ln w="9525">
                <a:solidFill>
                  <a:schemeClr val="accent1"/>
                </a:solidFill>
                <a:headEnd type="none"/>
              </a:ln>
              <a:effectLst/>
            </c:spPr>
          </c:marker>
          <c:cat>
            <c:strRef>
              <c:f>'Pivot 3(Line chart)'!$B$1:$B$9</c:f>
              <c:strCache>
                <c:ptCount val="9"/>
                <c:pt idx="0">
                  <c:v>Step 1</c:v>
                </c:pt>
                <c:pt idx="1">
                  <c:v>Step 2</c:v>
                </c:pt>
                <c:pt idx="2">
                  <c:v>Step 3</c:v>
                </c:pt>
                <c:pt idx="3">
                  <c:v>Step 4</c:v>
                </c:pt>
                <c:pt idx="4">
                  <c:v>Step 5</c:v>
                </c:pt>
                <c:pt idx="5">
                  <c:v>Step 6</c:v>
                </c:pt>
                <c:pt idx="6">
                  <c:v>Step 7</c:v>
                </c:pt>
                <c:pt idx="7">
                  <c:v>Step 8</c:v>
                </c:pt>
                <c:pt idx="8">
                  <c:v>Step 9</c:v>
                </c:pt>
              </c:strCache>
            </c:strRef>
          </c:cat>
          <c:val>
            <c:numRef>
              <c:f>'Pivot 3(Line chart)'!$D$1:$D$9</c:f>
              <c:numCache>
                <c:formatCode>General</c:formatCode>
                <c:ptCount val="9"/>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3DDC-4CA5-A842-6E7074868968}"/>
            </c:ext>
          </c:extLst>
        </c:ser>
        <c:dLbls>
          <c:showLegendKey val="0"/>
          <c:showVal val="0"/>
          <c:showCatName val="0"/>
          <c:showSerName val="0"/>
          <c:showPercent val="0"/>
          <c:showBubbleSize val="0"/>
        </c:dLbls>
        <c:marker val="1"/>
        <c:smooth val="0"/>
        <c:axId val="758272719"/>
        <c:axId val="758282703"/>
      </c:lineChart>
      <c:catAx>
        <c:axId val="758272719"/>
        <c:scaling>
          <c:orientation val="minMax"/>
        </c:scaling>
        <c:delete val="0"/>
        <c:axPos val="b"/>
        <c:numFmt formatCode="General" sourceLinked="1"/>
        <c:majorTickMark val="out"/>
        <c:minorTickMark val="none"/>
        <c:tickLblPos val="nextTo"/>
        <c:spPr>
          <a:noFill/>
          <a:ln w="254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82703"/>
        <c:crosses val="autoZero"/>
        <c:auto val="1"/>
        <c:lblAlgn val="ctr"/>
        <c:lblOffset val="600"/>
        <c:noMultiLvlLbl val="0"/>
      </c:catAx>
      <c:valAx>
        <c:axId val="758282703"/>
        <c:scaling>
          <c:orientation val="minMax"/>
        </c:scaling>
        <c:delete val="1"/>
        <c:axPos val="l"/>
        <c:numFmt formatCode="General" sourceLinked="1"/>
        <c:majorTickMark val="out"/>
        <c:minorTickMark val="none"/>
        <c:tickLblPos val="nextTo"/>
        <c:crossAx val="758272719"/>
        <c:crosses val="autoZero"/>
        <c:crossBetween val="between"/>
      </c:valAx>
      <c:spPr>
        <a:solidFill>
          <a:schemeClr val="bg1"/>
        </a:solidFill>
        <a:ln>
          <a:noFill/>
        </a:ln>
        <a:effectLst/>
      </c:spPr>
    </c:plotArea>
    <c:plotVisOnly val="1"/>
    <c:dispBlanksAs val="gap"/>
    <c:showDLblsOverMax val="0"/>
  </c:chart>
  <c:spPr>
    <a:solidFill>
      <a:schemeClr val="bg1"/>
    </a:solidFill>
    <a:ln w="9525" cap="flat" cmpd="sng" algn="ctr">
      <a:solidFill>
        <a:srgbClr val="00B05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76200" cap="rnd">
              <a:solidFill>
                <a:schemeClr val="accent1"/>
              </a:solidFill>
              <a:round/>
            </a:ln>
            <a:effectLst/>
          </c:spPr>
          <c:marker>
            <c:symbol val="circle"/>
            <c:size val="10"/>
            <c:spPr>
              <a:solidFill>
                <a:srgbClr val="002060"/>
              </a:solidFill>
              <a:ln w="9525">
                <a:solidFill>
                  <a:schemeClr val="accent1"/>
                </a:solidFill>
                <a:headEnd type="none"/>
              </a:ln>
              <a:effectLst/>
            </c:spPr>
          </c:marker>
          <c:cat>
            <c:strRef>
              <c:f>'Pivot 3(Line chart)'!$H$1:$H$9</c:f>
              <c:strCache>
                <c:ptCount val="9"/>
                <c:pt idx="0">
                  <c:v>Step 1</c:v>
                </c:pt>
                <c:pt idx="1">
                  <c:v>Step 2</c:v>
                </c:pt>
                <c:pt idx="2">
                  <c:v>Step 3</c:v>
                </c:pt>
                <c:pt idx="3">
                  <c:v>Step 4</c:v>
                </c:pt>
                <c:pt idx="4">
                  <c:v>Step 5</c:v>
                </c:pt>
                <c:pt idx="5">
                  <c:v>Step 6</c:v>
                </c:pt>
                <c:pt idx="6">
                  <c:v>Step 7</c:v>
                </c:pt>
                <c:pt idx="7">
                  <c:v>Step 8</c:v>
                </c:pt>
                <c:pt idx="8">
                  <c:v>Step 9</c:v>
                </c:pt>
              </c:strCache>
            </c:strRef>
          </c:cat>
          <c:val>
            <c:numRef>
              <c:f>'Pivot 3(Line chart)'!$J$1:$J$9</c:f>
              <c:numCache>
                <c:formatCode>General</c:formatCode>
                <c:ptCount val="9"/>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0820-4C89-887C-58D55932E540}"/>
            </c:ext>
          </c:extLst>
        </c:ser>
        <c:dLbls>
          <c:showLegendKey val="0"/>
          <c:showVal val="0"/>
          <c:showCatName val="0"/>
          <c:showSerName val="0"/>
          <c:showPercent val="0"/>
          <c:showBubbleSize val="0"/>
        </c:dLbls>
        <c:marker val="1"/>
        <c:smooth val="0"/>
        <c:axId val="758272719"/>
        <c:axId val="758282703"/>
      </c:lineChart>
      <c:catAx>
        <c:axId val="758272719"/>
        <c:scaling>
          <c:orientation val="minMax"/>
        </c:scaling>
        <c:delete val="0"/>
        <c:axPos val="b"/>
        <c:numFmt formatCode="General" sourceLinked="1"/>
        <c:majorTickMark val="out"/>
        <c:minorTickMark val="none"/>
        <c:tickLblPos val="nextTo"/>
        <c:spPr>
          <a:noFill/>
          <a:ln w="254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82703"/>
        <c:crosses val="autoZero"/>
        <c:auto val="1"/>
        <c:lblAlgn val="ctr"/>
        <c:lblOffset val="600"/>
        <c:noMultiLvlLbl val="0"/>
      </c:catAx>
      <c:valAx>
        <c:axId val="758282703"/>
        <c:scaling>
          <c:orientation val="minMax"/>
        </c:scaling>
        <c:delete val="1"/>
        <c:axPos val="l"/>
        <c:numFmt formatCode="General" sourceLinked="1"/>
        <c:majorTickMark val="out"/>
        <c:minorTickMark val="none"/>
        <c:tickLblPos val="nextTo"/>
        <c:crossAx val="758272719"/>
        <c:crosses val="autoZero"/>
        <c:crossBetween val="between"/>
      </c:valAx>
      <c:spPr>
        <a:noFill/>
        <a:ln>
          <a:noFill/>
        </a:ln>
        <a:effectLst/>
      </c:spPr>
    </c:plotArea>
    <c:plotVisOnly val="1"/>
    <c:dispBlanksAs val="gap"/>
    <c:showDLblsOverMax val="0"/>
  </c:chart>
  <c:spPr>
    <a:solidFill>
      <a:schemeClr val="bg1"/>
    </a:solidFill>
    <a:ln w="9525" cap="flat" cmpd="sng" algn="ctr">
      <a:solidFill>
        <a:srgbClr val="7030A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76200" cap="rnd">
              <a:solidFill>
                <a:schemeClr val="accent1"/>
              </a:solidFill>
              <a:round/>
            </a:ln>
            <a:effectLst/>
          </c:spPr>
          <c:marker>
            <c:symbol val="circle"/>
            <c:size val="10"/>
            <c:spPr>
              <a:solidFill>
                <a:srgbClr val="002060"/>
              </a:solidFill>
              <a:ln w="9525">
                <a:solidFill>
                  <a:schemeClr val="accent1"/>
                </a:solidFill>
                <a:headEnd type="none"/>
              </a:ln>
              <a:effectLst/>
            </c:spPr>
          </c:marker>
          <c:cat>
            <c:strRef>
              <c:f>'Pivot 3(Line chart)'!$E$1:$E$9</c:f>
              <c:strCache>
                <c:ptCount val="9"/>
                <c:pt idx="0">
                  <c:v>Step 1</c:v>
                </c:pt>
                <c:pt idx="1">
                  <c:v>Step 2</c:v>
                </c:pt>
                <c:pt idx="2">
                  <c:v>Step 3</c:v>
                </c:pt>
                <c:pt idx="3">
                  <c:v>Step 4</c:v>
                </c:pt>
                <c:pt idx="4">
                  <c:v>Step 5</c:v>
                </c:pt>
                <c:pt idx="5">
                  <c:v>Step 6</c:v>
                </c:pt>
                <c:pt idx="6">
                  <c:v>Step 7</c:v>
                </c:pt>
                <c:pt idx="7">
                  <c:v>Step 8</c:v>
                </c:pt>
                <c:pt idx="8">
                  <c:v>Step 9</c:v>
                </c:pt>
              </c:strCache>
            </c:strRef>
          </c:cat>
          <c:val>
            <c:numRef>
              <c:f>'Pivot 3(Line chart)'!$G$1:$G$9</c:f>
              <c:numCache>
                <c:formatCode>General</c:formatCode>
                <c:ptCount val="9"/>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DB4B-42A3-B3E3-CCFB84117EAA}"/>
            </c:ext>
          </c:extLst>
        </c:ser>
        <c:dLbls>
          <c:showLegendKey val="0"/>
          <c:showVal val="0"/>
          <c:showCatName val="0"/>
          <c:showSerName val="0"/>
          <c:showPercent val="0"/>
          <c:showBubbleSize val="0"/>
        </c:dLbls>
        <c:marker val="1"/>
        <c:smooth val="0"/>
        <c:axId val="758272719"/>
        <c:axId val="758282703"/>
      </c:lineChart>
      <c:catAx>
        <c:axId val="758272719"/>
        <c:scaling>
          <c:orientation val="minMax"/>
        </c:scaling>
        <c:delete val="0"/>
        <c:axPos val="b"/>
        <c:numFmt formatCode="General" sourceLinked="1"/>
        <c:majorTickMark val="out"/>
        <c:minorTickMark val="none"/>
        <c:tickLblPos val="nextTo"/>
        <c:spPr>
          <a:noFill/>
          <a:ln w="254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82703"/>
        <c:crosses val="autoZero"/>
        <c:auto val="1"/>
        <c:lblAlgn val="ctr"/>
        <c:lblOffset val="600"/>
        <c:noMultiLvlLbl val="0"/>
      </c:catAx>
      <c:valAx>
        <c:axId val="758282703"/>
        <c:scaling>
          <c:orientation val="minMax"/>
        </c:scaling>
        <c:delete val="1"/>
        <c:axPos val="l"/>
        <c:numFmt formatCode="General" sourceLinked="1"/>
        <c:majorTickMark val="out"/>
        <c:minorTickMark val="none"/>
        <c:tickLblPos val="nextTo"/>
        <c:crossAx val="758272719"/>
        <c:crosses val="autoZero"/>
        <c:crossBetween val="between"/>
      </c:valAx>
      <c:spPr>
        <a:noFill/>
        <a:ln>
          <a:noFill/>
        </a:ln>
        <a:effectLst/>
      </c:spPr>
    </c:plotArea>
    <c:plotVisOnly val="1"/>
    <c:dispBlanksAs val="gap"/>
    <c:showDLblsOverMax val="0"/>
  </c:chart>
  <c:spPr>
    <a:solidFill>
      <a:schemeClr val="bg1"/>
    </a:solidFill>
    <a:ln w="9525" cap="flat" cmpd="sng" algn="ctr">
      <a:solidFill>
        <a:srgbClr val="00B0F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799501377939335E-3"/>
          <c:y val="9.414019368268621E-2"/>
          <c:w val="0.57007809999359826"/>
          <c:h val="0.80597248619784589"/>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084B-4560-AF39-7D6756C3E9FA}"/>
              </c:ext>
            </c:extLst>
          </c:dPt>
          <c:dPt>
            <c:idx val="1"/>
            <c:bubble3D val="0"/>
            <c:spPr>
              <a:solidFill>
                <a:srgbClr val="CC0000"/>
              </a:solidFill>
              <a:ln w="19050">
                <a:solidFill>
                  <a:schemeClr val="lt1"/>
                </a:solidFill>
              </a:ln>
              <a:effectLst/>
            </c:spPr>
            <c:extLst>
              <c:ext xmlns:c16="http://schemas.microsoft.com/office/drawing/2014/chart" uri="{C3380CC4-5D6E-409C-BE32-E72D297353CC}">
                <c16:uniqueId val="{00000003-084B-4560-AF39-7D6756C3E9FA}"/>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5-084B-4560-AF39-7D6756C3E9FA}"/>
              </c:ext>
            </c:extLst>
          </c:dPt>
          <c:dPt>
            <c:idx val="3"/>
            <c:bubble3D val="0"/>
            <c:spPr>
              <a:solidFill>
                <a:srgbClr val="0070C0"/>
              </a:solidFill>
              <a:ln w="19050">
                <a:solidFill>
                  <a:schemeClr val="lt1"/>
                </a:solidFill>
              </a:ln>
              <a:effectLst/>
            </c:spPr>
            <c:extLst>
              <c:ext xmlns:c16="http://schemas.microsoft.com/office/drawing/2014/chart" uri="{C3380CC4-5D6E-409C-BE32-E72D297353CC}">
                <c16:uniqueId val="{00000007-084B-4560-AF39-7D6756C3E9FA}"/>
              </c:ext>
            </c:extLst>
          </c:dPt>
          <c:cat>
            <c:strRef>
              <c:f>'Pivot 2(Completion Status)'!$E$4:$E$7</c:f>
              <c:strCache>
                <c:ptCount val="4"/>
                <c:pt idx="0">
                  <c:v>Completed</c:v>
                </c:pt>
                <c:pt idx="1">
                  <c:v>Not commenced</c:v>
                </c:pt>
                <c:pt idx="2">
                  <c:v>Not Applicable</c:v>
                </c:pt>
                <c:pt idx="3">
                  <c:v>Work in progress</c:v>
                </c:pt>
              </c:strCache>
            </c:strRef>
          </c:cat>
          <c:val>
            <c:numRef>
              <c:f>'Pivot 2(Completion Status)'!$F$4:$F$7</c:f>
              <c:numCache>
                <c:formatCode>0%</c:formatCode>
                <c:ptCount val="4"/>
                <c:pt idx="0">
                  <c:v>8.2644628099173556E-3</c:v>
                </c:pt>
                <c:pt idx="1">
                  <c:v>1.6528925619834711E-2</c:v>
                </c:pt>
                <c:pt idx="2">
                  <c:v>#N/A</c:v>
                </c:pt>
                <c:pt idx="3">
                  <c:v>0.97520661157024791</c:v>
                </c:pt>
              </c:numCache>
            </c:numRef>
          </c:val>
          <c:extLst>
            <c:ext xmlns:c16="http://schemas.microsoft.com/office/drawing/2014/chart" uri="{C3380CC4-5D6E-409C-BE32-E72D297353CC}">
              <c16:uniqueId val="{00000008-084B-4560-AF39-7D6756C3E9FA}"/>
            </c:ext>
          </c:extLst>
        </c:ser>
        <c:dLbls>
          <c:showLegendKey val="0"/>
          <c:showVal val="0"/>
          <c:showCatName val="0"/>
          <c:showSerName val="0"/>
          <c:showPercent val="0"/>
          <c:showBubbleSize val="0"/>
          <c:showLeaderLines val="1"/>
        </c:dLbls>
        <c:firstSliceAng val="0"/>
        <c:holeSize val="83"/>
      </c:doughnutChart>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egendEntry>
        <c:idx val="3"/>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56749601313115694"/>
          <c:y val="1.3458706870266275E-2"/>
          <c:w val="0.32497523791058353"/>
          <c:h val="0.95115214046520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31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751493820696801E-2"/>
          <c:y val="2.0982122907964914E-2"/>
          <c:w val="0.45165026740027064"/>
          <c:h val="0.95578041747386522"/>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11F-48B2-A909-FD132C3E7D9C}"/>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A11F-48B2-A909-FD132C3E7D9C}"/>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5-A11F-48B2-A909-FD132C3E7D9C}"/>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6-4D5F-451F-8530-EE81F53712F3}"/>
              </c:ext>
            </c:extLst>
          </c:dPt>
          <c:cat>
            <c:strRef>
              <c:f>'Report (Partner)'!$Y$25:$Y$28</c:f>
              <c:strCache>
                <c:ptCount val="4"/>
                <c:pt idx="0">
                  <c:v>Completed</c:v>
                </c:pt>
                <c:pt idx="1">
                  <c:v>Work In Progress</c:v>
                </c:pt>
                <c:pt idx="2">
                  <c:v>Not commenced</c:v>
                </c:pt>
                <c:pt idx="3">
                  <c:v>Not Applicable</c:v>
                </c:pt>
              </c:strCache>
            </c:strRef>
          </c:cat>
          <c:val>
            <c:numRef>
              <c:f>'Report (Partner)'!$AA$25:$AA$28</c:f>
              <c:numCache>
                <c:formatCode>0%</c:formatCode>
                <c:ptCount val="4"/>
                <c:pt idx="0">
                  <c:v>0.21487603305785125</c:v>
                </c:pt>
                <c:pt idx="1">
                  <c:v>0.57024793388429751</c:v>
                </c:pt>
                <c:pt idx="2">
                  <c:v>9.0909090909090912E-2</c:v>
                </c:pt>
                <c:pt idx="3">
                  <c:v>0.12396694214876033</c:v>
                </c:pt>
              </c:numCache>
            </c:numRef>
          </c:val>
          <c:extLst>
            <c:ext xmlns:c16="http://schemas.microsoft.com/office/drawing/2014/chart" uri="{C3380CC4-5D6E-409C-BE32-E72D297353CC}">
              <c16:uniqueId val="{00000006-A11F-48B2-A909-FD132C3E7D9C}"/>
            </c:ext>
          </c:extLst>
        </c:ser>
        <c:dLbls>
          <c:showLegendKey val="0"/>
          <c:showVal val="0"/>
          <c:showCatName val="0"/>
          <c:showSerName val="0"/>
          <c:showPercent val="0"/>
          <c:showBubbleSize val="0"/>
          <c:showLeaderLines val="1"/>
        </c:dLbls>
        <c:firstSliceAng val="0"/>
        <c:holeSize val="83"/>
      </c:doughnutChart>
      <c:spPr>
        <a:noFill/>
        <a:ln>
          <a:noFill/>
        </a:ln>
        <a:effectLst/>
      </c:spPr>
    </c:plotArea>
    <c:legend>
      <c:legendPos val="r"/>
      <c:legendEntry>
        <c:idx val="0"/>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egendEntry>
        <c:idx val="3"/>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47790302624293346"/>
          <c:y val="7.8142928356390695E-2"/>
          <c:w val="0.36805948704818736"/>
          <c:h val="0.86887860321081145"/>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31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36282222976594E-2"/>
          <c:y val="2.5351858062082119E-2"/>
          <c:w val="0.44379234793291727"/>
          <c:h val="0.9350523202196559"/>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C471-4613-B974-C63933B909D3}"/>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C471-4613-B974-C63933B909D3}"/>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5-C471-4613-B974-C63933B909D3}"/>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6-01FE-4668-8027-C97D147C09F0}"/>
              </c:ext>
            </c:extLst>
          </c:dPt>
          <c:cat>
            <c:strRef>
              <c:f>'Report (Partner)'!$Y$33:$Y$36</c:f>
              <c:strCache>
                <c:ptCount val="4"/>
                <c:pt idx="0">
                  <c:v>Completed</c:v>
                </c:pt>
                <c:pt idx="1">
                  <c:v>Work In Progress</c:v>
                </c:pt>
                <c:pt idx="2">
                  <c:v>Not commenced</c:v>
                </c:pt>
                <c:pt idx="3">
                  <c:v>Not Applicable</c:v>
                </c:pt>
              </c:strCache>
            </c:strRef>
          </c:cat>
          <c:val>
            <c:numRef>
              <c:f>'Report (Partner)'!$AA$33:$AA$36</c:f>
              <c:numCache>
                <c:formatCode>0%</c:formatCode>
                <c:ptCount val="4"/>
                <c:pt idx="0">
                  <c:v>0.13223140495867769</c:v>
                </c:pt>
                <c:pt idx="1">
                  <c:v>0.63636363636363635</c:v>
                </c:pt>
                <c:pt idx="2">
                  <c:v>9.0909090909090912E-2</c:v>
                </c:pt>
                <c:pt idx="3">
                  <c:v>0.14049586776859505</c:v>
                </c:pt>
              </c:numCache>
            </c:numRef>
          </c:val>
          <c:extLst>
            <c:ext xmlns:c16="http://schemas.microsoft.com/office/drawing/2014/chart" uri="{C3380CC4-5D6E-409C-BE32-E72D297353CC}">
              <c16:uniqueId val="{00000006-C471-4613-B974-C63933B909D3}"/>
            </c:ext>
          </c:extLst>
        </c:ser>
        <c:dLbls>
          <c:showLegendKey val="0"/>
          <c:showVal val="0"/>
          <c:showCatName val="0"/>
          <c:showSerName val="0"/>
          <c:showPercent val="0"/>
          <c:showBubbleSize val="0"/>
          <c:showLeaderLines val="1"/>
        </c:dLbls>
        <c:firstSliceAng val="0"/>
        <c:holeSize val="83"/>
      </c:doughnutChart>
      <c:spPr>
        <a:noFill/>
        <a:ln>
          <a:noFill/>
        </a:ln>
        <a:effectLst/>
      </c:spPr>
    </c:plotArea>
    <c:legend>
      <c:legendPos val="r"/>
      <c:legendEntry>
        <c:idx val="0"/>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egendEntry>
        <c:idx val="3"/>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46239299581261945"/>
          <c:y val="7.8143198986154086E-2"/>
          <c:w val="0.35588382762203974"/>
          <c:h val="0.8809132065980591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31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106882977158142E-2"/>
          <c:y val="3.0723176200083968E-2"/>
          <c:w val="0.45163620402900229"/>
          <c:h val="0.95746452031518781"/>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0C2-4431-A25E-B62370E4FE2C}"/>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70C2-4431-A25E-B62370E4FE2C}"/>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5-70C2-4431-A25E-B62370E4FE2C}"/>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6-73A6-44C9-AE57-EE373B74FB14}"/>
              </c:ext>
            </c:extLst>
          </c:dPt>
          <c:cat>
            <c:strRef>
              <c:f>'Report (Partner)'!$Y$40:$Y$43</c:f>
              <c:strCache>
                <c:ptCount val="4"/>
                <c:pt idx="0">
                  <c:v>Completed</c:v>
                </c:pt>
                <c:pt idx="1">
                  <c:v>Work In Progress</c:v>
                </c:pt>
                <c:pt idx="2">
                  <c:v>Not commenced</c:v>
                </c:pt>
                <c:pt idx="3">
                  <c:v>Not Applicable</c:v>
                </c:pt>
              </c:strCache>
            </c:strRef>
          </c:cat>
          <c:val>
            <c:numRef>
              <c:f>'Report (Partner)'!$AA$40:$AA$43</c:f>
              <c:numCache>
                <c:formatCode>0%</c:formatCode>
                <c:ptCount val="4"/>
                <c:pt idx="0">
                  <c:v>0.11570247933884298</c:v>
                </c:pt>
                <c:pt idx="1">
                  <c:v>0.64462809917355368</c:v>
                </c:pt>
                <c:pt idx="2">
                  <c:v>0.14049586776859505</c:v>
                </c:pt>
                <c:pt idx="3">
                  <c:v>9.9173553719008267E-2</c:v>
                </c:pt>
              </c:numCache>
            </c:numRef>
          </c:val>
          <c:extLst>
            <c:ext xmlns:c16="http://schemas.microsoft.com/office/drawing/2014/chart" uri="{C3380CC4-5D6E-409C-BE32-E72D297353CC}">
              <c16:uniqueId val="{00000006-70C2-4431-A25E-B62370E4FE2C}"/>
            </c:ext>
          </c:extLst>
        </c:ser>
        <c:dLbls>
          <c:showLegendKey val="0"/>
          <c:showVal val="0"/>
          <c:showCatName val="0"/>
          <c:showSerName val="0"/>
          <c:showPercent val="0"/>
          <c:showBubbleSize val="0"/>
          <c:showLeaderLines val="1"/>
        </c:dLbls>
        <c:firstSliceAng val="0"/>
        <c:holeSize val="83"/>
      </c:doughnutChart>
      <c:spPr>
        <a:noFill/>
        <a:ln>
          <a:noFill/>
        </a:ln>
        <a:effectLst/>
      </c:spPr>
    </c:plotArea>
    <c:legend>
      <c:legendPos val="r"/>
      <c:legendEntry>
        <c:idx val="0"/>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egendEntry>
        <c:idx val="3"/>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44686714768029467"/>
          <c:y val="0.1038338582746188"/>
          <c:w val="0.3636450603958889"/>
          <c:h val="0.83206339551230057"/>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31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76200" cap="rnd">
              <a:solidFill>
                <a:schemeClr val="accent1"/>
              </a:solidFill>
              <a:round/>
            </a:ln>
            <a:effectLst/>
          </c:spPr>
          <c:marker>
            <c:symbol val="circle"/>
            <c:size val="10"/>
            <c:spPr>
              <a:solidFill>
                <a:srgbClr val="002060"/>
              </a:solidFill>
              <a:ln w="9525">
                <a:solidFill>
                  <a:schemeClr val="accent1"/>
                </a:solidFill>
                <a:headEnd type="none"/>
              </a:ln>
              <a:effectLst/>
            </c:spPr>
          </c:marker>
          <c:cat>
            <c:strRef>
              <c:f>'Pivot 3(Line chart)'!$B$1:$B$10</c:f>
              <c:strCache>
                <c:ptCount val="9"/>
                <c:pt idx="0">
                  <c:v>Step 1</c:v>
                </c:pt>
                <c:pt idx="1">
                  <c:v>Step 2</c:v>
                </c:pt>
                <c:pt idx="2">
                  <c:v>Step 3</c:v>
                </c:pt>
                <c:pt idx="3">
                  <c:v>Step 4</c:v>
                </c:pt>
                <c:pt idx="4">
                  <c:v>Step 5</c:v>
                </c:pt>
                <c:pt idx="5">
                  <c:v>Step 6</c:v>
                </c:pt>
                <c:pt idx="6">
                  <c:v>Step 7</c:v>
                </c:pt>
                <c:pt idx="7">
                  <c:v>Step 8</c:v>
                </c:pt>
                <c:pt idx="8">
                  <c:v>Step 9</c:v>
                </c:pt>
              </c:strCache>
            </c:strRef>
          </c:cat>
          <c:val>
            <c:numRef>
              <c:f>'Pivot 3(Line chart)'!$D$1:$D$10</c:f>
              <c:numCache>
                <c:formatCode>General</c:formatCode>
                <c:ptCount val="10"/>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77AB-4F26-B82D-BF7333560860}"/>
            </c:ext>
          </c:extLst>
        </c:ser>
        <c:dLbls>
          <c:showLegendKey val="0"/>
          <c:showVal val="0"/>
          <c:showCatName val="0"/>
          <c:showSerName val="0"/>
          <c:showPercent val="0"/>
          <c:showBubbleSize val="0"/>
        </c:dLbls>
        <c:marker val="1"/>
        <c:smooth val="0"/>
        <c:axId val="758272719"/>
        <c:axId val="758282703"/>
      </c:lineChart>
      <c:catAx>
        <c:axId val="7582727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82703"/>
        <c:crosses val="autoZero"/>
        <c:auto val="1"/>
        <c:lblAlgn val="ctr"/>
        <c:lblOffset val="600"/>
        <c:noMultiLvlLbl val="0"/>
      </c:catAx>
      <c:valAx>
        <c:axId val="758282703"/>
        <c:scaling>
          <c:orientation val="minMax"/>
        </c:scaling>
        <c:delete val="1"/>
        <c:axPos val="l"/>
        <c:numFmt formatCode="General" sourceLinked="1"/>
        <c:majorTickMark val="out"/>
        <c:minorTickMark val="none"/>
        <c:tickLblPos val="nextTo"/>
        <c:crossAx val="7582727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76200" cap="rnd">
              <a:solidFill>
                <a:schemeClr val="accent1"/>
              </a:solidFill>
              <a:round/>
            </a:ln>
            <a:effectLst/>
          </c:spPr>
          <c:marker>
            <c:symbol val="circle"/>
            <c:size val="10"/>
            <c:spPr>
              <a:solidFill>
                <a:srgbClr val="002060"/>
              </a:solidFill>
              <a:ln w="9525">
                <a:solidFill>
                  <a:schemeClr val="accent1"/>
                </a:solidFill>
                <a:headEnd type="none"/>
              </a:ln>
              <a:effectLst/>
            </c:spPr>
          </c:marker>
          <c:cat>
            <c:strRef>
              <c:f>'Pivot 3(Line chart)'!$E$1:$E$9</c:f>
              <c:strCache>
                <c:ptCount val="9"/>
                <c:pt idx="0">
                  <c:v>Step 1</c:v>
                </c:pt>
                <c:pt idx="1">
                  <c:v>Step 2</c:v>
                </c:pt>
                <c:pt idx="2">
                  <c:v>Step 3</c:v>
                </c:pt>
                <c:pt idx="3">
                  <c:v>Step 4</c:v>
                </c:pt>
                <c:pt idx="4">
                  <c:v>Step 5</c:v>
                </c:pt>
                <c:pt idx="5">
                  <c:v>Step 6</c:v>
                </c:pt>
                <c:pt idx="6">
                  <c:v>Step 7</c:v>
                </c:pt>
                <c:pt idx="7">
                  <c:v>Step 8</c:v>
                </c:pt>
                <c:pt idx="8">
                  <c:v>Step 9</c:v>
                </c:pt>
              </c:strCache>
            </c:strRef>
          </c:cat>
          <c:val>
            <c:numRef>
              <c:f>'Pivot 3(Line chart)'!$G$1:$G$9</c:f>
              <c:numCache>
                <c:formatCode>General</c:formatCode>
                <c:ptCount val="9"/>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9609-4890-B59D-E0FF76C424F4}"/>
            </c:ext>
          </c:extLst>
        </c:ser>
        <c:dLbls>
          <c:showLegendKey val="0"/>
          <c:showVal val="0"/>
          <c:showCatName val="0"/>
          <c:showSerName val="0"/>
          <c:showPercent val="0"/>
          <c:showBubbleSize val="0"/>
        </c:dLbls>
        <c:marker val="1"/>
        <c:smooth val="0"/>
        <c:axId val="758272719"/>
        <c:axId val="758282703"/>
      </c:lineChart>
      <c:catAx>
        <c:axId val="758272719"/>
        <c:scaling>
          <c:orientation val="minMax"/>
        </c:scaling>
        <c:delete val="0"/>
        <c:axPos val="b"/>
        <c:numFmt formatCode="General" sourceLinked="1"/>
        <c:majorTickMark val="out"/>
        <c:minorTickMark val="none"/>
        <c:tickLblPos val="nextTo"/>
        <c:spPr>
          <a:noFill/>
          <a:ln w="254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82703"/>
        <c:crosses val="autoZero"/>
        <c:auto val="1"/>
        <c:lblAlgn val="ctr"/>
        <c:lblOffset val="600"/>
        <c:noMultiLvlLbl val="0"/>
      </c:catAx>
      <c:valAx>
        <c:axId val="758282703"/>
        <c:scaling>
          <c:orientation val="minMax"/>
        </c:scaling>
        <c:delete val="1"/>
        <c:axPos val="l"/>
        <c:numFmt formatCode="General" sourceLinked="1"/>
        <c:majorTickMark val="out"/>
        <c:minorTickMark val="none"/>
        <c:tickLblPos val="nextTo"/>
        <c:crossAx val="7582727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76200" cap="rnd">
              <a:solidFill>
                <a:schemeClr val="accent1"/>
              </a:solidFill>
              <a:round/>
            </a:ln>
            <a:effectLst/>
          </c:spPr>
          <c:marker>
            <c:symbol val="circle"/>
            <c:size val="10"/>
            <c:spPr>
              <a:solidFill>
                <a:srgbClr val="002060"/>
              </a:solidFill>
              <a:ln w="9525">
                <a:solidFill>
                  <a:schemeClr val="accent1"/>
                </a:solidFill>
                <a:headEnd type="none"/>
              </a:ln>
              <a:effectLst/>
            </c:spPr>
          </c:marker>
          <c:cat>
            <c:strRef>
              <c:f>'Pivot 3(Line chart)'!$H$1:$H$9</c:f>
              <c:strCache>
                <c:ptCount val="9"/>
                <c:pt idx="0">
                  <c:v>Step 1</c:v>
                </c:pt>
                <c:pt idx="1">
                  <c:v>Step 2</c:v>
                </c:pt>
                <c:pt idx="2">
                  <c:v>Step 3</c:v>
                </c:pt>
                <c:pt idx="3">
                  <c:v>Step 4</c:v>
                </c:pt>
                <c:pt idx="4">
                  <c:v>Step 5</c:v>
                </c:pt>
                <c:pt idx="5">
                  <c:v>Step 6</c:v>
                </c:pt>
                <c:pt idx="6">
                  <c:v>Step 7</c:v>
                </c:pt>
                <c:pt idx="7">
                  <c:v>Step 8</c:v>
                </c:pt>
                <c:pt idx="8">
                  <c:v>Step 9</c:v>
                </c:pt>
              </c:strCache>
            </c:strRef>
          </c:cat>
          <c:val>
            <c:numRef>
              <c:f>'Pivot 3(Line chart)'!$J$1:$J$9</c:f>
              <c:numCache>
                <c:formatCode>General</c:formatCode>
                <c:ptCount val="9"/>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9315-4FD7-8400-3F258A67843A}"/>
            </c:ext>
          </c:extLst>
        </c:ser>
        <c:dLbls>
          <c:showLegendKey val="0"/>
          <c:showVal val="0"/>
          <c:showCatName val="0"/>
          <c:showSerName val="0"/>
          <c:showPercent val="0"/>
          <c:showBubbleSize val="0"/>
        </c:dLbls>
        <c:marker val="1"/>
        <c:smooth val="0"/>
        <c:axId val="758272719"/>
        <c:axId val="758282703"/>
      </c:lineChart>
      <c:catAx>
        <c:axId val="758272719"/>
        <c:scaling>
          <c:orientation val="minMax"/>
        </c:scaling>
        <c:delete val="0"/>
        <c:axPos val="b"/>
        <c:numFmt formatCode="General" sourceLinked="1"/>
        <c:majorTickMark val="out"/>
        <c:minorTickMark val="none"/>
        <c:tickLblPos val="nextTo"/>
        <c:spPr>
          <a:noFill/>
          <a:ln w="254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82703"/>
        <c:crosses val="autoZero"/>
        <c:auto val="1"/>
        <c:lblAlgn val="ctr"/>
        <c:lblOffset val="600"/>
        <c:noMultiLvlLbl val="0"/>
      </c:catAx>
      <c:valAx>
        <c:axId val="758282703"/>
        <c:scaling>
          <c:orientation val="minMax"/>
        </c:scaling>
        <c:delete val="1"/>
        <c:axPos val="l"/>
        <c:numFmt formatCode="General" sourceLinked="1"/>
        <c:majorTickMark val="out"/>
        <c:minorTickMark val="none"/>
        <c:tickLblPos val="nextTo"/>
        <c:crossAx val="7582727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D13A-43AA-9178-9CEEA867C7F2}"/>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2-D13A-43AA-9178-9CEEA867C7F2}"/>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3-D13A-43AA-9178-9CEEA867C7F2}"/>
              </c:ext>
            </c:extLst>
          </c:dPt>
          <c:dPt>
            <c:idx val="3"/>
            <c:bubble3D val="0"/>
            <c:spPr>
              <a:solidFill>
                <a:srgbClr val="0070C0"/>
              </a:solidFill>
              <a:ln w="19050">
                <a:solidFill>
                  <a:schemeClr val="lt1"/>
                </a:solidFill>
              </a:ln>
              <a:effectLst/>
            </c:spPr>
            <c:extLst>
              <c:ext xmlns:c16="http://schemas.microsoft.com/office/drawing/2014/chart" uri="{C3380CC4-5D6E-409C-BE32-E72D297353CC}">
                <c16:uniqueId val="{00000006-EAF1-40B0-B867-96E5F030C050}"/>
              </c:ext>
            </c:extLst>
          </c:dPt>
          <c:dLbls>
            <c:dLbl>
              <c:idx val="0"/>
              <c:layout>
                <c:manualLayout>
                  <c:x val="0.35802469135802456"/>
                  <c:y val="-6.48967551622418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3A-43AA-9178-9CEEA867C7F2}"/>
                </c:ext>
              </c:extLst>
            </c:dLbl>
            <c:dLbl>
              <c:idx val="1"/>
              <c:layout>
                <c:manualLayout>
                  <c:x val="-0.3991769547325103"/>
                  <c:y val="0.159292035398229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13A-43AA-9178-9CEEA867C7F2}"/>
                </c:ext>
              </c:extLst>
            </c:dLbl>
            <c:dLbl>
              <c:idx val="2"/>
              <c:layout>
                <c:manualLayout>
                  <c:x val="-2.6518583325232496E-2"/>
                  <c:y val="-2.9496202355237108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7281909205793719"/>
                      <c:h val="0.12380554200636422"/>
                    </c:manualLayout>
                  </c15:layout>
                </c:ext>
                <c:ext xmlns:c16="http://schemas.microsoft.com/office/drawing/2014/chart" uri="{C3380CC4-5D6E-409C-BE32-E72D297353CC}">
                  <c16:uniqueId val="{00000003-D13A-43AA-9178-9CEEA867C7F2}"/>
                </c:ext>
              </c:extLst>
            </c:dLbl>
            <c:dLbl>
              <c:idx val="3"/>
              <c:layout>
                <c:manualLayout>
                  <c:x val="-0.13168724279835392"/>
                  <c:y val="-0.153392330383480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AF1-40B0-B867-96E5F030C05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2(Completion Status)'!$E$4:$E$7</c:f>
              <c:strCache>
                <c:ptCount val="4"/>
                <c:pt idx="0">
                  <c:v>Completed</c:v>
                </c:pt>
                <c:pt idx="1">
                  <c:v>Not commenced</c:v>
                </c:pt>
                <c:pt idx="2">
                  <c:v>Not Applicable</c:v>
                </c:pt>
                <c:pt idx="3">
                  <c:v>Work in progress</c:v>
                </c:pt>
              </c:strCache>
            </c:strRef>
          </c:cat>
          <c:val>
            <c:numRef>
              <c:f>'Pivot 2(Completion Status)'!$F$4:$F$7</c:f>
              <c:numCache>
                <c:formatCode>0%</c:formatCode>
                <c:ptCount val="4"/>
                <c:pt idx="0">
                  <c:v>8.2644628099173556E-3</c:v>
                </c:pt>
                <c:pt idx="1">
                  <c:v>1.6528925619834711E-2</c:v>
                </c:pt>
                <c:pt idx="2">
                  <c:v>#N/A</c:v>
                </c:pt>
                <c:pt idx="3">
                  <c:v>0.97520661157024791</c:v>
                </c:pt>
              </c:numCache>
            </c:numRef>
          </c:val>
          <c:extLst>
            <c:ext xmlns:c16="http://schemas.microsoft.com/office/drawing/2014/chart" uri="{C3380CC4-5D6E-409C-BE32-E72D297353CC}">
              <c16:uniqueId val="{00000000-D13A-43AA-9178-9CEEA867C7F2}"/>
            </c:ext>
          </c:extLst>
        </c:ser>
        <c:dLbls>
          <c:showLegendKey val="0"/>
          <c:showVal val="1"/>
          <c:showCatName val="0"/>
          <c:showSerName val="0"/>
          <c:showPercent val="0"/>
          <c:showBubbleSize val="0"/>
          <c:showLeaderLines val="1"/>
        </c:dLbls>
        <c:firstSliceAng val="0"/>
        <c:holeSize val="8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chart" Target="../charts/chart1.xml"/><Relationship Id="rId7" Type="http://schemas.openxmlformats.org/officeDocument/2006/relationships/chart" Target="../charts/chart3.xml"/><Relationship Id="rId2" Type="http://schemas.openxmlformats.org/officeDocument/2006/relationships/hyperlink" Target="#'Report (Partner)'!A1"/><Relationship Id="rId1" Type="http://schemas.openxmlformats.org/officeDocument/2006/relationships/hyperlink" Target="#Consolidated!A1"/><Relationship Id="rId6" Type="http://schemas.openxmlformats.org/officeDocument/2006/relationships/hyperlink" Target="#Dashboard!K26"/><Relationship Id="rId5" Type="http://schemas.openxmlformats.org/officeDocument/2006/relationships/chart" Target="../charts/chart2.xml"/><Relationship Id="rId4" Type="http://schemas.openxmlformats.org/officeDocument/2006/relationships/hyperlink" Target="#Dashboard!K6"/></Relationships>
</file>

<file path=xl/drawings/_rels/drawing2.xml.rels><?xml version="1.0" encoding="UTF-8" standalone="yes"?>
<Relationships xmlns="http://schemas.openxmlformats.org/package/2006/relationships"><Relationship Id="rId2" Type="http://schemas.openxmlformats.org/officeDocument/2006/relationships/hyperlink" Target="#'Report (Partner)'!A1"/><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hyperlink" Target="#'Report (Partner)'!C43"/><Relationship Id="rId3" Type="http://schemas.openxmlformats.org/officeDocument/2006/relationships/chart" Target="../charts/chart5.xml"/><Relationship Id="rId7" Type="http://schemas.openxmlformats.org/officeDocument/2006/relationships/chart" Target="../charts/chart7.xml"/><Relationship Id="rId2" Type="http://schemas.openxmlformats.org/officeDocument/2006/relationships/hyperlink" Target="#Dashboard!A1"/><Relationship Id="rId1" Type="http://schemas.openxmlformats.org/officeDocument/2006/relationships/hyperlink" Target="#Consolidated!A1"/><Relationship Id="rId6" Type="http://schemas.openxmlformats.org/officeDocument/2006/relationships/hyperlink" Target="#'Report (Partner)'!C34"/><Relationship Id="rId5" Type="http://schemas.openxmlformats.org/officeDocument/2006/relationships/chart" Target="../charts/chart6.xml"/><Relationship Id="rId4" Type="http://schemas.openxmlformats.org/officeDocument/2006/relationships/hyperlink" Target="#'Report (Partner)'!C25"/><Relationship Id="rId9" Type="http://schemas.openxmlformats.org/officeDocument/2006/relationships/chart" Target="../charts/chart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4</xdr:col>
      <xdr:colOff>514088</xdr:colOff>
      <xdr:row>0</xdr:row>
      <xdr:rowOff>126337</xdr:rowOff>
    </xdr:from>
    <xdr:to>
      <xdr:col>5</xdr:col>
      <xdr:colOff>271574</xdr:colOff>
      <xdr:row>1</xdr:row>
      <xdr:rowOff>147599</xdr:rowOff>
    </xdr:to>
    <mc:AlternateContent xmlns:mc="http://schemas.openxmlformats.org/markup-compatibility/2006" xmlns:a14="http://schemas.microsoft.com/office/drawing/2010/main">
      <mc:Choice Requires="a14">
        <xdr:graphicFrame macro="">
          <xdr:nvGraphicFramePr>
            <xdr:cNvPr id="2" name="Partner  1">
              <a:extLst>
                <a:ext uri="{FF2B5EF4-FFF2-40B4-BE49-F238E27FC236}">
                  <a16:creationId xmlns:a16="http://schemas.microsoft.com/office/drawing/2014/main" id="{00000000-0008-0000-00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rtner  1"/>
            </a:graphicData>
          </a:graphic>
        </xdr:graphicFrame>
      </mc:Choice>
      <mc:Fallback xmlns="">
        <xdr:sp macro="" textlink="">
          <xdr:nvSpPr>
            <xdr:cNvPr id="0" name=""/>
            <xdr:cNvSpPr>
              <a:spLocks noTextEdit="1"/>
            </xdr:cNvSpPr>
          </xdr:nvSpPr>
          <xdr:spPr>
            <a:xfrm>
              <a:off x="51450" y="0"/>
              <a:ext cx="1823267" cy="15134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10583</xdr:colOff>
      <xdr:row>7</xdr:row>
      <xdr:rowOff>126999</xdr:rowOff>
    </xdr:from>
    <xdr:to>
      <xdr:col>3</xdr:col>
      <xdr:colOff>11054</xdr:colOff>
      <xdr:row>37</xdr:row>
      <xdr:rowOff>182880</xdr:rowOff>
    </xdr:to>
    <mc:AlternateContent xmlns:mc="http://schemas.openxmlformats.org/markup-compatibility/2006" xmlns:a14="http://schemas.microsoft.com/office/drawing/2010/main">
      <mc:Choice Requires="a14">
        <xdr:graphicFrame macro="">
          <xdr:nvGraphicFramePr>
            <xdr:cNvPr id="3" name="Client Name 1">
              <a:extLst>
                <a:ext uri="{FF2B5EF4-FFF2-40B4-BE49-F238E27FC236}">
                  <a16:creationId xmlns:a16="http://schemas.microsoft.com/office/drawing/2014/main" id="{00000000-0008-0000-0000-000003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lient Name 1"/>
            </a:graphicData>
          </a:graphic>
        </xdr:graphicFrame>
      </mc:Choice>
      <mc:Fallback xmlns="">
        <xdr:sp macro="" textlink="">
          <xdr:nvSpPr>
            <xdr:cNvPr id="0" name=""/>
            <xdr:cNvSpPr>
              <a:spLocks noTextEdit="1"/>
            </xdr:cNvSpPr>
          </xdr:nvSpPr>
          <xdr:spPr>
            <a:xfrm>
              <a:off x="10583" y="1471082"/>
              <a:ext cx="2032471" cy="58631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20</xdr:col>
      <xdr:colOff>305647</xdr:colOff>
      <xdr:row>10</xdr:row>
      <xdr:rowOff>155787</xdr:rowOff>
    </xdr:from>
    <xdr:to>
      <xdr:col>23</xdr:col>
      <xdr:colOff>60960</xdr:colOff>
      <xdr:row>17</xdr:row>
      <xdr:rowOff>39370</xdr:rowOff>
    </xdr:to>
    <mc:AlternateContent xmlns:mc="http://schemas.openxmlformats.org/markup-compatibility/2006" xmlns:a14="http://schemas.microsoft.com/office/drawing/2010/main">
      <mc:Choice Requires="a14">
        <xdr:graphicFrame macro="">
          <xdr:nvGraphicFramePr>
            <xdr:cNvPr id="9" name="Priority 1">
              <a:extLst>
                <a:ext uri="{FF2B5EF4-FFF2-40B4-BE49-F238E27FC236}">
                  <a16:creationId xmlns:a16="http://schemas.microsoft.com/office/drawing/2014/main" id="{00000000-0008-0000-00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iority 1"/>
            </a:graphicData>
          </a:graphic>
        </xdr:graphicFrame>
      </mc:Choice>
      <mc:Fallback xmlns="">
        <xdr:sp macro="" textlink="">
          <xdr:nvSpPr>
            <xdr:cNvPr id="0" name=""/>
            <xdr:cNvSpPr>
              <a:spLocks noTextEdit="1"/>
            </xdr:cNvSpPr>
          </xdr:nvSpPr>
          <xdr:spPr>
            <a:xfrm>
              <a:off x="12771967" y="2121747"/>
              <a:ext cx="1934633" cy="11942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9</xdr:col>
          <xdr:colOff>68580</xdr:colOff>
          <xdr:row>0</xdr:row>
          <xdr:rowOff>68580</xdr:rowOff>
        </xdr:from>
        <xdr:to>
          <xdr:col>10</xdr:col>
          <xdr:colOff>297180</xdr:colOff>
          <xdr:row>1</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900" b="1" i="0" u="none" strike="noStrike" baseline="0">
                  <a:solidFill>
                    <a:srgbClr val="000000"/>
                  </a:solidFill>
                  <a:latin typeface="Calibri"/>
                  <a:ea typeface="Calibri"/>
                  <a:cs typeface="Calibri"/>
                </a:rPr>
                <a:t>Refresh all pivot</a:t>
              </a:r>
            </a:p>
          </xdr:txBody>
        </xdr:sp>
        <xdr:clientData fPrintsWithSheet="0"/>
      </xdr:twoCellAnchor>
    </mc:Choice>
    <mc:Fallback/>
  </mc:AlternateContent>
  <xdr:twoCellAnchor>
    <xdr:from>
      <xdr:col>12</xdr:col>
      <xdr:colOff>253800</xdr:colOff>
      <xdr:row>0</xdr:row>
      <xdr:rowOff>76728</xdr:rowOff>
    </xdr:from>
    <xdr:to>
      <xdr:col>13</xdr:col>
      <xdr:colOff>478766</xdr:colOff>
      <xdr:row>1</xdr:row>
      <xdr:rowOff>87312</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0000-000005000000}"/>
            </a:ext>
          </a:extLst>
        </xdr:cNvPr>
        <xdr:cNvSpPr/>
      </xdr:nvSpPr>
      <xdr:spPr>
        <a:xfrm>
          <a:off x="7535133" y="76728"/>
          <a:ext cx="838800" cy="201084"/>
        </a:xfrm>
        <a:prstGeom prst="rect">
          <a:avLst/>
        </a:prstGeom>
        <a:solidFill>
          <a:schemeClr val="bg2">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solidFill>
                <a:schemeClr val="tx1"/>
              </a:solidFill>
            </a:rPr>
            <a:t>Database</a:t>
          </a:r>
        </a:p>
      </xdr:txBody>
    </xdr:sp>
    <xdr:clientData/>
  </xdr:twoCellAnchor>
  <xdr:twoCellAnchor>
    <xdr:from>
      <xdr:col>9</xdr:col>
      <xdr:colOff>63501</xdr:colOff>
      <xdr:row>1</xdr:row>
      <xdr:rowOff>179916</xdr:rowOff>
    </xdr:from>
    <xdr:to>
      <xdr:col>20</xdr:col>
      <xdr:colOff>95250</xdr:colOff>
      <xdr:row>1</xdr:row>
      <xdr:rowOff>190500</xdr:rowOff>
    </xdr:to>
    <xdr:cxnSp macro="">
      <xdr:nvCxnSpPr>
        <xdr:cNvPr id="13" name="Straight Connector 12">
          <a:extLst>
            <a:ext uri="{FF2B5EF4-FFF2-40B4-BE49-F238E27FC236}">
              <a16:creationId xmlns:a16="http://schemas.microsoft.com/office/drawing/2014/main" id="{00000000-0008-0000-0000-00000D000000}"/>
            </a:ext>
          </a:extLst>
        </xdr:cNvPr>
        <xdr:cNvCxnSpPr/>
      </xdr:nvCxnSpPr>
      <xdr:spPr>
        <a:xfrm>
          <a:off x="5535084" y="370416"/>
          <a:ext cx="6783916" cy="10584"/>
        </a:xfrm>
        <a:prstGeom prst="line">
          <a:avLst/>
        </a:prstGeom>
        <a:ln>
          <a:solidFill>
            <a:schemeClr val="bg1">
              <a:lumMod val="8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560916</xdr:colOff>
      <xdr:row>0</xdr:row>
      <xdr:rowOff>76728</xdr:rowOff>
    </xdr:from>
    <xdr:to>
      <xdr:col>15</xdr:col>
      <xdr:colOff>82050</xdr:colOff>
      <xdr:row>1</xdr:row>
      <xdr:rowOff>116628</xdr:rowOff>
    </xdr:to>
    <xdr:sp macro="" textlink="">
      <xdr:nvSpPr>
        <xdr:cNvPr id="20" name="Rectangle 19">
          <a:hlinkClick xmlns:r="http://schemas.openxmlformats.org/officeDocument/2006/relationships" r:id="rId2" tooltip="Click to go to Report(Partner)"/>
          <a:extLst>
            <a:ext uri="{FF2B5EF4-FFF2-40B4-BE49-F238E27FC236}">
              <a16:creationId xmlns:a16="http://schemas.microsoft.com/office/drawing/2014/main" id="{00000000-0008-0000-0000-000014000000}"/>
            </a:ext>
          </a:extLst>
        </xdr:cNvPr>
        <xdr:cNvSpPr/>
      </xdr:nvSpPr>
      <xdr:spPr>
        <a:xfrm>
          <a:off x="8456083" y="76728"/>
          <a:ext cx="748800" cy="230400"/>
        </a:xfrm>
        <a:prstGeom prst="rect">
          <a:avLst/>
        </a:prstGeom>
        <a:solidFill>
          <a:schemeClr val="bg2">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solidFill>
                <a:schemeClr val="tx1"/>
              </a:solidFill>
            </a:rPr>
            <a:t>Report(P)</a:t>
          </a:r>
        </a:p>
      </xdr:txBody>
    </xdr:sp>
    <xdr:clientData/>
  </xdr:twoCellAnchor>
  <xdr:twoCellAnchor editAs="oneCell">
    <xdr:from>
      <xdr:col>20</xdr:col>
      <xdr:colOff>306914</xdr:colOff>
      <xdr:row>23</xdr:row>
      <xdr:rowOff>137586</xdr:rowOff>
    </xdr:from>
    <xdr:to>
      <xdr:col>23</xdr:col>
      <xdr:colOff>21167</xdr:colOff>
      <xdr:row>31</xdr:row>
      <xdr:rowOff>158750</xdr:rowOff>
    </xdr:to>
    <mc:AlternateContent xmlns:mc="http://schemas.openxmlformats.org/markup-compatibility/2006" xmlns:a14="http://schemas.microsoft.com/office/drawing/2010/main">
      <mc:Choice Requires="a14">
        <xdr:graphicFrame macro="">
          <xdr:nvGraphicFramePr>
            <xdr:cNvPr id="21" name="Status 1">
              <a:extLst>
                <a:ext uri="{FF2B5EF4-FFF2-40B4-BE49-F238E27FC236}">
                  <a16:creationId xmlns:a16="http://schemas.microsoft.com/office/drawing/2014/main" id="{00000000-0008-0000-00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12530664" y="4529669"/>
              <a:ext cx="1852086" cy="15769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10</xdr:col>
          <xdr:colOff>449580</xdr:colOff>
          <xdr:row>0</xdr:row>
          <xdr:rowOff>68580</xdr:rowOff>
        </xdr:from>
        <xdr:to>
          <xdr:col>12</xdr:col>
          <xdr:colOff>68580</xdr:colOff>
          <xdr:row>1</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900" b="1" i="0" u="none" strike="noStrike" baseline="0">
                  <a:solidFill>
                    <a:srgbClr val="000000"/>
                  </a:solidFill>
                  <a:latin typeface="Calibri"/>
                  <a:ea typeface="Calibri"/>
                  <a:cs typeface="Calibri"/>
                </a:rPr>
                <a:t>Full Screen</a:t>
              </a:r>
            </a:p>
          </xdr:txBody>
        </xdr:sp>
        <xdr:clientData fPrintsWithSheet="0"/>
      </xdr:twoCellAnchor>
    </mc:Choice>
    <mc:Fallback/>
  </mc:AlternateContent>
  <xdr:twoCellAnchor editAs="oneCell">
    <xdr:from>
      <xdr:col>20</xdr:col>
      <xdr:colOff>306917</xdr:colOff>
      <xdr:row>16</xdr:row>
      <xdr:rowOff>179917</xdr:rowOff>
    </xdr:from>
    <xdr:to>
      <xdr:col>23</xdr:col>
      <xdr:colOff>2903</xdr:colOff>
      <xdr:row>23</xdr:row>
      <xdr:rowOff>105834</xdr:rowOff>
    </xdr:to>
    <mc:AlternateContent xmlns:mc="http://schemas.openxmlformats.org/markup-compatibility/2006" xmlns:a14="http://schemas.microsoft.com/office/drawing/2010/main">
      <mc:Choice Requires="a14">
        <xdr:graphicFrame macro="">
          <xdr:nvGraphicFramePr>
            <xdr:cNvPr id="22" name="Year End 1">
              <a:extLst>
                <a:ext uri="{FF2B5EF4-FFF2-40B4-BE49-F238E27FC236}">
                  <a16:creationId xmlns:a16="http://schemas.microsoft.com/office/drawing/2014/main" id="{00000000-0008-0000-00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End 1"/>
            </a:graphicData>
          </a:graphic>
        </xdr:graphicFrame>
      </mc:Choice>
      <mc:Fallback xmlns="">
        <xdr:sp macro="" textlink="">
          <xdr:nvSpPr>
            <xdr:cNvPr id="0" name=""/>
            <xdr:cNvSpPr>
              <a:spLocks noTextEdit="1"/>
            </xdr:cNvSpPr>
          </xdr:nvSpPr>
          <xdr:spPr>
            <a:xfrm>
              <a:off x="12530667" y="3249084"/>
              <a:ext cx="1828800" cy="12488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51328</xdr:colOff>
      <xdr:row>0</xdr:row>
      <xdr:rowOff>84667</xdr:rowOff>
    </xdr:from>
    <xdr:to>
      <xdr:col>8</xdr:col>
      <xdr:colOff>594253</xdr:colOff>
      <xdr:row>13</xdr:row>
      <xdr:rowOff>39160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2329708" y="84667"/>
          <a:ext cx="3194685" cy="2469093"/>
          <a:chOff x="2325158" y="84667"/>
          <a:chExt cx="3135842" cy="2505076"/>
        </a:xfrm>
      </xdr:grpSpPr>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noChangeAspect="1"/>
          </xdr:cNvGraphicFramePr>
        </xdr:nvGraphicFramePr>
        <xdr:xfrm>
          <a:off x="2325158" y="379943"/>
          <a:ext cx="3135842" cy="22098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2374371" y="84667"/>
            <a:ext cx="2931583" cy="222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Overall Status</a:t>
            </a:r>
          </a:p>
          <a:p>
            <a:endParaRPr lang="en-IN" sz="1100"/>
          </a:p>
        </xdr:txBody>
      </xdr:sp>
    </xdr:grpSp>
    <xdr:clientData/>
  </xdr:twoCellAnchor>
  <xdr:twoCellAnchor>
    <xdr:from>
      <xdr:col>3</xdr:col>
      <xdr:colOff>126999</xdr:colOff>
      <xdr:row>13</xdr:row>
      <xdr:rowOff>141290</xdr:rowOff>
    </xdr:from>
    <xdr:to>
      <xdr:col>8</xdr:col>
      <xdr:colOff>613832</xdr:colOff>
      <xdr:row>25</xdr:row>
      <xdr:rowOff>141289</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2199639" y="2655890"/>
          <a:ext cx="3344333" cy="2232659"/>
          <a:chOff x="2180167" y="2783417"/>
          <a:chExt cx="3280833" cy="2275416"/>
        </a:xfrm>
      </xdr:grpSpPr>
      <xdr:sp macro="" textlink="">
        <xdr:nvSpPr>
          <xdr:cNvPr id="14" name="Rectangle 13">
            <a:extLst>
              <a:ext uri="{FF2B5EF4-FFF2-40B4-BE49-F238E27FC236}">
                <a16:creationId xmlns:a16="http://schemas.microsoft.com/office/drawing/2014/main" id="{00000000-0008-0000-0000-00000E000000}"/>
              </a:ext>
            </a:extLst>
          </xdr:cNvPr>
          <xdr:cNvSpPr/>
        </xdr:nvSpPr>
        <xdr:spPr>
          <a:xfrm>
            <a:off x="2180167" y="3122083"/>
            <a:ext cx="3280833" cy="1936750"/>
          </a:xfrm>
          <a:prstGeom prst="rect">
            <a:avLst/>
          </a:prstGeom>
          <a:ln w="3175">
            <a:solidFill>
              <a:schemeClr val="tx1"/>
            </a:solidFill>
          </a:ln>
        </xdr:spPr>
        <xdr:style>
          <a:lnRef idx="2">
            <a:schemeClr val="accent6"/>
          </a:lnRef>
          <a:fillRef idx="1">
            <a:schemeClr val="lt1"/>
          </a:fillRef>
          <a:effectRef idx="0">
            <a:schemeClr val="accent6"/>
          </a:effectRef>
          <a:fontRef idx="minor">
            <a:schemeClr val="dk1"/>
          </a:fontRef>
        </xdr:style>
        <xdr:txBody>
          <a:bodyPr wrap="square" anchor="ctr"/>
          <a:lstStyle/>
          <a:p>
            <a:pPr marL="0" indent="0" algn="ctr"/>
            <a:endParaRPr lang="en-IN" sz="1000" b="1" i="0" u="none" strike="noStrike">
              <a:solidFill>
                <a:schemeClr val="tx1"/>
              </a:solidFill>
              <a:latin typeface="Calibri"/>
              <a:ea typeface="+mn-ea"/>
              <a:cs typeface="Calibri"/>
            </a:endParaRPr>
          </a:p>
        </xdr:txBody>
      </xdr:sp>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2356908" y="2783417"/>
            <a:ext cx="2931583" cy="3280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Audit Engagement details</a:t>
            </a:r>
          </a:p>
          <a:p>
            <a:pPr algn="ctr"/>
            <a:endParaRPr lang="en-IN" sz="1100"/>
          </a:p>
        </xdr:txBody>
      </xdr:sp>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2269065" y="3238500"/>
            <a:ext cx="1466851" cy="2116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1100"/>
              <a:t>Audit co-ordinator :</a:t>
            </a:r>
          </a:p>
        </xdr:txBody>
      </xdr:sp>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269065" y="3579320"/>
            <a:ext cx="1468800" cy="21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1100"/>
              <a:t>Audit manager :</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2269065" y="3919940"/>
            <a:ext cx="821267" cy="2131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1100"/>
              <a:t>Year End :</a:t>
            </a:r>
          </a:p>
        </xdr:txBody>
      </xdr:sp>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269065" y="4259920"/>
            <a:ext cx="884767" cy="1965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1100"/>
              <a:t>Client type :</a:t>
            </a: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2269065" y="4721226"/>
            <a:ext cx="472017" cy="1947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1100"/>
              <a:t>ERP :</a:t>
            </a:r>
          </a:p>
        </xdr:txBody>
      </xdr:sp>
      <xdr:sp macro="" textlink="AE15">
        <xdr:nvSpPr>
          <xdr:cNvPr id="35" name="Rectangle 34">
            <a:extLst>
              <a:ext uri="{FF2B5EF4-FFF2-40B4-BE49-F238E27FC236}">
                <a16:creationId xmlns:a16="http://schemas.microsoft.com/office/drawing/2014/main" id="{00000000-0008-0000-0000-000023000000}"/>
              </a:ext>
            </a:extLst>
          </xdr:cNvPr>
          <xdr:cNvSpPr/>
        </xdr:nvSpPr>
        <xdr:spPr>
          <a:xfrm>
            <a:off x="3672416" y="3257021"/>
            <a:ext cx="1767417" cy="174625"/>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30FF61C5-A1B0-485D-A8E0-A77434EBF3C8}" type="TxLink">
              <a:rPr lang="en-US" sz="1100" b="0" i="0" u="none" strike="noStrike">
                <a:solidFill>
                  <a:srgbClr val="000000"/>
                </a:solidFill>
                <a:latin typeface="Calibri"/>
                <a:cs typeface="Calibri"/>
              </a:rPr>
              <a:pPr algn="l"/>
              <a:t> </a:t>
            </a:fld>
            <a:endParaRPr lang="en-IN" sz="1100" b="0"/>
          </a:p>
        </xdr:txBody>
      </xdr:sp>
      <xdr:sp macro="" textlink="AE16">
        <xdr:nvSpPr>
          <xdr:cNvPr id="36" name="Rectangle 35">
            <a:extLst>
              <a:ext uri="{FF2B5EF4-FFF2-40B4-BE49-F238E27FC236}">
                <a16:creationId xmlns:a16="http://schemas.microsoft.com/office/drawing/2014/main" id="{00000000-0008-0000-0000-000024000000}"/>
              </a:ext>
            </a:extLst>
          </xdr:cNvPr>
          <xdr:cNvSpPr/>
        </xdr:nvSpPr>
        <xdr:spPr>
          <a:xfrm>
            <a:off x="3672416" y="3598208"/>
            <a:ext cx="1767417" cy="174625"/>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8921D4CA-D385-49D7-A01C-869D7A9A3DC3}" type="TxLink">
              <a:rPr lang="en-US" sz="1100" b="0" i="0" u="none" strike="noStrike">
                <a:solidFill>
                  <a:srgbClr val="000000"/>
                </a:solidFill>
                <a:latin typeface="Calibri"/>
                <a:cs typeface="Calibri"/>
              </a:rPr>
              <a:pPr algn="l"/>
              <a:t> </a:t>
            </a:fld>
            <a:endParaRPr lang="en-IN" sz="1100" b="0"/>
          </a:p>
        </xdr:txBody>
      </xdr:sp>
      <xdr:sp macro="" textlink="AE17">
        <xdr:nvSpPr>
          <xdr:cNvPr id="37" name="Rectangle 36">
            <a:extLst>
              <a:ext uri="{FF2B5EF4-FFF2-40B4-BE49-F238E27FC236}">
                <a16:creationId xmlns:a16="http://schemas.microsoft.com/office/drawing/2014/main" id="{00000000-0008-0000-0000-000025000000}"/>
              </a:ext>
            </a:extLst>
          </xdr:cNvPr>
          <xdr:cNvSpPr/>
        </xdr:nvSpPr>
        <xdr:spPr>
          <a:xfrm>
            <a:off x="3672416" y="3939227"/>
            <a:ext cx="1767417" cy="174625"/>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D24EAE94-A6F0-47F0-A6F6-58D22635405F}" type="TxLink">
              <a:rPr lang="en-US" sz="1100" b="0" i="0" u="none" strike="noStrike">
                <a:solidFill>
                  <a:srgbClr val="000000"/>
                </a:solidFill>
                <a:latin typeface="Calibri"/>
                <a:cs typeface="Calibri"/>
              </a:rPr>
              <a:pPr algn="l"/>
              <a:t> </a:t>
            </a:fld>
            <a:endParaRPr lang="en-IN" sz="1100" b="0"/>
          </a:p>
        </xdr:txBody>
      </xdr:sp>
      <xdr:sp macro="" textlink="AE18">
        <xdr:nvSpPr>
          <xdr:cNvPr id="38" name="Rectangle 37">
            <a:extLst>
              <a:ext uri="{FF2B5EF4-FFF2-40B4-BE49-F238E27FC236}">
                <a16:creationId xmlns:a16="http://schemas.microsoft.com/office/drawing/2014/main" id="{00000000-0008-0000-0000-000026000000}"/>
              </a:ext>
            </a:extLst>
          </xdr:cNvPr>
          <xdr:cNvSpPr/>
        </xdr:nvSpPr>
        <xdr:spPr>
          <a:xfrm>
            <a:off x="3672416" y="4270886"/>
            <a:ext cx="1767417" cy="174625"/>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A467F75A-AE2C-4476-B740-C12B5B689264}" type="TxLink">
              <a:rPr lang="en-US" sz="1100" b="0" i="0" u="none" strike="noStrike">
                <a:solidFill>
                  <a:srgbClr val="000000"/>
                </a:solidFill>
                <a:latin typeface="Calibri"/>
                <a:cs typeface="Calibri"/>
              </a:rPr>
              <a:pPr algn="l"/>
              <a:t> </a:t>
            </a:fld>
            <a:endParaRPr lang="en-IN" sz="1100" b="0"/>
          </a:p>
        </xdr:txBody>
      </xdr:sp>
      <xdr:sp macro="" textlink="AE19">
        <xdr:nvSpPr>
          <xdr:cNvPr id="39" name="Rectangle 38">
            <a:extLst>
              <a:ext uri="{FF2B5EF4-FFF2-40B4-BE49-F238E27FC236}">
                <a16:creationId xmlns:a16="http://schemas.microsoft.com/office/drawing/2014/main" id="{00000000-0008-0000-0000-000027000000}"/>
              </a:ext>
            </a:extLst>
          </xdr:cNvPr>
          <xdr:cNvSpPr/>
        </xdr:nvSpPr>
        <xdr:spPr>
          <a:xfrm>
            <a:off x="3672233" y="4591579"/>
            <a:ext cx="1767600" cy="454026"/>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C523C6F0-026A-49FC-975B-E5808F3AD867}" type="TxLink">
              <a:rPr lang="en-US" sz="1100" b="0" i="0" u="none" strike="noStrike">
                <a:solidFill>
                  <a:srgbClr val="000000"/>
                </a:solidFill>
                <a:latin typeface="Calibri"/>
                <a:cs typeface="Calibri"/>
              </a:rPr>
              <a:pPr algn="l"/>
              <a:t> </a:t>
            </a:fld>
            <a:endParaRPr lang="en-IN" sz="1100" b="0"/>
          </a:p>
        </xdr:txBody>
      </xdr:sp>
    </xdr:grpSp>
    <xdr:clientData/>
  </xdr:twoCellAnchor>
  <xdr:twoCellAnchor>
    <xdr:from>
      <xdr:col>3</xdr:col>
      <xdr:colOff>127615</xdr:colOff>
      <xdr:row>26</xdr:row>
      <xdr:rowOff>63501</xdr:rowOff>
    </xdr:from>
    <xdr:to>
      <xdr:col>8</xdr:col>
      <xdr:colOff>613215</xdr:colOff>
      <xdr:row>33</xdr:row>
      <xdr:rowOff>52917</xdr:rowOff>
    </xdr:to>
    <xdr:grpSp>
      <xdr:nvGrpSpPr>
        <xdr:cNvPr id="40" name="Group 39">
          <a:extLst>
            <a:ext uri="{FF2B5EF4-FFF2-40B4-BE49-F238E27FC236}">
              <a16:creationId xmlns:a16="http://schemas.microsoft.com/office/drawing/2014/main" id="{00000000-0008-0000-0000-000028000000}"/>
            </a:ext>
          </a:extLst>
        </xdr:cNvPr>
        <xdr:cNvGrpSpPr/>
      </xdr:nvGrpSpPr>
      <xdr:grpSpPr>
        <a:xfrm>
          <a:off x="2200255" y="5001261"/>
          <a:ext cx="3343100" cy="1399116"/>
          <a:chOff x="2158999" y="5080001"/>
          <a:chExt cx="3279600" cy="1354666"/>
        </a:xfrm>
      </xdr:grpSpPr>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2325158" y="5080001"/>
            <a:ext cx="2931583" cy="222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Comments</a:t>
            </a:r>
          </a:p>
          <a:p>
            <a:endParaRPr lang="en-IN" sz="1100"/>
          </a:p>
        </xdr:txBody>
      </xdr:sp>
      <xdr:sp macro="" textlink="AE21">
        <xdr:nvSpPr>
          <xdr:cNvPr id="43" name="Rectangle 42">
            <a:extLst>
              <a:ext uri="{FF2B5EF4-FFF2-40B4-BE49-F238E27FC236}">
                <a16:creationId xmlns:a16="http://schemas.microsoft.com/office/drawing/2014/main" id="{00000000-0008-0000-0000-00002B000000}"/>
              </a:ext>
            </a:extLst>
          </xdr:cNvPr>
          <xdr:cNvSpPr/>
        </xdr:nvSpPr>
        <xdr:spPr>
          <a:xfrm>
            <a:off x="2158999" y="5408083"/>
            <a:ext cx="3279600" cy="1026584"/>
          </a:xfrm>
          <a:prstGeom prst="rect">
            <a:avLst/>
          </a:prstGeom>
          <a:ln w="3175">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wrap="square" anchor="t"/>
          <a:lstStyle/>
          <a:p>
            <a:pPr marL="0" indent="0" algn="l"/>
            <a:fld id="{207E7A2A-9CE2-45C5-BE31-FDF818BE647A}" type="TxLink">
              <a:rPr lang="en-US" sz="1000" b="0" i="0" u="none" strike="noStrike">
                <a:solidFill>
                  <a:srgbClr val="000000"/>
                </a:solidFill>
                <a:latin typeface="Calibri"/>
                <a:ea typeface="+mn-ea"/>
                <a:cs typeface="Calibri"/>
              </a:rPr>
              <a:pPr marL="0" indent="0" algn="l"/>
              <a:t> </a:t>
            </a:fld>
            <a:endParaRPr lang="en-IN" sz="1000" b="0" i="0" u="none" strike="noStrike">
              <a:solidFill>
                <a:srgbClr val="000000"/>
              </a:solidFill>
              <a:latin typeface="Calibri"/>
              <a:ea typeface="+mn-ea"/>
              <a:cs typeface="Calibri"/>
            </a:endParaRPr>
          </a:p>
        </xdr:txBody>
      </xdr:sp>
    </xdr:grpSp>
    <xdr:clientData/>
  </xdr:twoCellAnchor>
  <xdr:twoCellAnchor>
    <xdr:from>
      <xdr:col>9</xdr:col>
      <xdr:colOff>61487</xdr:colOff>
      <xdr:row>1</xdr:row>
      <xdr:rowOff>195791</xdr:rowOff>
    </xdr:from>
    <xdr:to>
      <xdr:col>19</xdr:col>
      <xdr:colOff>584832</xdr:colOff>
      <xdr:row>11</xdr:row>
      <xdr:rowOff>52917</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5654567" y="386291"/>
          <a:ext cx="6771745" cy="1815466"/>
          <a:chOff x="5607154" y="5593291"/>
          <a:chExt cx="6661679" cy="1836209"/>
        </a:xfrm>
      </xdr:grpSpPr>
      <xdr:grpSp>
        <xdr:nvGrpSpPr>
          <xdr:cNvPr id="44" name="Group 43">
            <a:extLst>
              <a:ext uri="{FF2B5EF4-FFF2-40B4-BE49-F238E27FC236}">
                <a16:creationId xmlns:a16="http://schemas.microsoft.com/office/drawing/2014/main" id="{00000000-0008-0000-0000-00002C000000}"/>
              </a:ext>
            </a:extLst>
          </xdr:cNvPr>
          <xdr:cNvGrpSpPr/>
        </xdr:nvGrpSpPr>
        <xdr:grpSpPr>
          <a:xfrm>
            <a:off x="5607154" y="5593291"/>
            <a:ext cx="1367263" cy="1836209"/>
            <a:chOff x="5490738" y="5549897"/>
            <a:chExt cx="1453924" cy="1964268"/>
          </a:xfrm>
        </xdr:grpSpPr>
        <xdr:sp macro="" textlink="AC30">
          <xdr:nvSpPr>
            <xdr:cNvPr id="47" name="Rectangle 46">
              <a:extLst>
                <a:ext uri="{FF2B5EF4-FFF2-40B4-BE49-F238E27FC236}">
                  <a16:creationId xmlns:a16="http://schemas.microsoft.com/office/drawing/2014/main" id="{00000000-0008-0000-0000-00002F000000}"/>
                </a:ext>
              </a:extLst>
            </xdr:cNvPr>
            <xdr:cNvSpPr/>
          </xdr:nvSpPr>
          <xdr:spPr>
            <a:xfrm>
              <a:off x="5555190" y="5549897"/>
              <a:ext cx="1386000" cy="165103"/>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6745B9D5-C4A3-4570-903C-52C138D7A9C6}" type="TxLink">
                <a:rPr lang="en-US" sz="1300" b="1" i="0" u="none" strike="noStrike">
                  <a:solidFill>
                    <a:srgbClr val="000000"/>
                  </a:solidFill>
                  <a:latin typeface="Calibri"/>
                  <a:cs typeface="Calibri"/>
                </a:rPr>
                <a:pPr algn="ctr"/>
                <a:t>Overall Status</a:t>
              </a:fld>
              <a:endParaRPr lang="en-IN" sz="1100"/>
            </a:p>
          </xdr:txBody>
        </xdr:sp>
        <xdr:sp macro="" textlink="">
          <xdr:nvSpPr>
            <xdr:cNvPr id="41" name="Rectangle 40">
              <a:extLst>
                <a:ext uri="{FF2B5EF4-FFF2-40B4-BE49-F238E27FC236}">
                  <a16:creationId xmlns:a16="http://schemas.microsoft.com/office/drawing/2014/main" id="{00000000-0008-0000-0000-000029000000}"/>
                </a:ext>
              </a:extLst>
            </xdr:cNvPr>
            <xdr:cNvSpPr/>
          </xdr:nvSpPr>
          <xdr:spPr>
            <a:xfrm>
              <a:off x="5492750" y="5757332"/>
              <a:ext cx="1449500" cy="1756833"/>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5523440" y="5774619"/>
              <a:ext cx="1386000" cy="223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Completed</a:t>
              </a:r>
            </a:p>
          </xdr:txBody>
        </xdr:sp>
        <xdr:sp macro="" textlink="'Pivot6 (overall Numbers)'!F4">
          <xdr:nvSpPr>
            <xdr:cNvPr id="52" name="Rectangle 51">
              <a:extLst>
                <a:ext uri="{FF2B5EF4-FFF2-40B4-BE49-F238E27FC236}">
                  <a16:creationId xmlns:a16="http://schemas.microsoft.com/office/drawing/2014/main" id="{00000000-0008-0000-0000-000034000000}"/>
                </a:ext>
              </a:extLst>
            </xdr:cNvPr>
            <xdr:cNvSpPr/>
          </xdr:nvSpPr>
          <xdr:spPr>
            <a:xfrm>
              <a:off x="5523440" y="5988758"/>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D6D84AD3-E9D9-4D79-B152-91D2952BA3F3}" type="TxLink">
                <a:rPr lang="en-US" sz="1300" b="0" i="0" u="none" strike="noStrike">
                  <a:solidFill>
                    <a:srgbClr val="000000"/>
                  </a:solidFill>
                  <a:latin typeface="Calibri"/>
                  <a:cs typeface="Calibri"/>
                </a:rPr>
                <a:pPr algn="ctr"/>
                <a:t>1</a:t>
              </a:fld>
              <a:endParaRPr lang="en-IN" sz="1300"/>
            </a:p>
          </xdr:txBody>
        </xdr:sp>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5523232" y="6202897"/>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Work in progress</a:t>
              </a:r>
            </a:p>
          </xdr:txBody>
        </xdr:sp>
        <xdr:sp macro="" textlink="'Pivot6 (overall Numbers)'!F7">
          <xdr:nvSpPr>
            <xdr:cNvPr id="54" name="Rectangle 53">
              <a:extLst>
                <a:ext uri="{FF2B5EF4-FFF2-40B4-BE49-F238E27FC236}">
                  <a16:creationId xmlns:a16="http://schemas.microsoft.com/office/drawing/2014/main" id="{00000000-0008-0000-0000-000036000000}"/>
                </a:ext>
              </a:extLst>
            </xdr:cNvPr>
            <xdr:cNvSpPr/>
          </xdr:nvSpPr>
          <xdr:spPr>
            <a:xfrm>
              <a:off x="5523440" y="6416087"/>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AEDD4B0E-BCE9-4B31-9B7A-51A65EB91B4B}" type="TxLink">
                <a:rPr lang="en-US" sz="1300" b="0" i="0" u="none" strike="noStrike">
                  <a:solidFill>
                    <a:srgbClr val="000000"/>
                  </a:solidFill>
                  <a:latin typeface="Calibri"/>
                  <a:cs typeface="Calibri"/>
                </a:rPr>
                <a:pPr algn="ctr"/>
                <a:t>118</a:t>
              </a:fld>
              <a:endParaRPr lang="en-IN" sz="13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5523232" y="6630226"/>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commenced</a:t>
              </a:r>
            </a:p>
          </xdr:txBody>
        </xdr:sp>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5523232" y="7057555"/>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Applicable</a:t>
              </a:r>
            </a:p>
          </xdr:txBody>
        </xdr:sp>
        <xdr:sp macro="" textlink="'Pivot6 (overall Numbers)'!F5">
          <xdr:nvSpPr>
            <xdr:cNvPr id="57" name="Rectangle 56">
              <a:extLst>
                <a:ext uri="{FF2B5EF4-FFF2-40B4-BE49-F238E27FC236}">
                  <a16:creationId xmlns:a16="http://schemas.microsoft.com/office/drawing/2014/main" id="{00000000-0008-0000-0000-000039000000}"/>
                </a:ext>
              </a:extLst>
            </xdr:cNvPr>
            <xdr:cNvSpPr/>
          </xdr:nvSpPr>
          <xdr:spPr>
            <a:xfrm>
              <a:off x="5523440" y="6843416"/>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65C333DA-3181-4322-A828-F08DBBBE067D}" type="TxLink">
                <a:rPr lang="en-US" sz="1300" b="0" i="0" u="none" strike="noStrike">
                  <a:solidFill>
                    <a:srgbClr val="000000"/>
                  </a:solidFill>
                  <a:latin typeface="Calibri"/>
                  <a:cs typeface="Calibri"/>
                </a:rPr>
                <a:pPr algn="ctr"/>
                <a:t>2</a:t>
              </a:fld>
              <a:endParaRPr lang="en-IN" sz="1300"/>
            </a:p>
          </xdr:txBody>
        </xdr:sp>
        <xdr:sp macro="" textlink="'Pivot6 (overall Numbers)'!F6">
          <xdr:nvSpPr>
            <xdr:cNvPr id="58" name="Rectangle 57">
              <a:extLst>
                <a:ext uri="{FF2B5EF4-FFF2-40B4-BE49-F238E27FC236}">
                  <a16:creationId xmlns:a16="http://schemas.microsoft.com/office/drawing/2014/main" id="{00000000-0008-0000-0000-00003A000000}"/>
                </a:ext>
              </a:extLst>
            </xdr:cNvPr>
            <xdr:cNvSpPr/>
          </xdr:nvSpPr>
          <xdr:spPr>
            <a:xfrm>
              <a:off x="5523440" y="7270748"/>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D8E745F9-7E6F-49FF-AF2E-9917041A2732}" type="TxLink">
                <a:rPr lang="en-US" sz="1300" b="0" i="0" u="none" strike="noStrike">
                  <a:solidFill>
                    <a:srgbClr val="000000"/>
                  </a:solidFill>
                  <a:latin typeface="Calibri"/>
                  <a:cs typeface="Calibri"/>
                </a:rPr>
                <a:pPr algn="ctr"/>
                <a:t>0</a:t>
              </a:fld>
              <a:endParaRPr lang="en-IN" sz="1300"/>
            </a:p>
          </xdr:txBody>
        </xdr:sp>
        <xdr:cxnSp macro="">
          <xdr:nvCxnSpPr>
            <xdr:cNvPr id="74" name="Straight Connector 73">
              <a:extLst>
                <a:ext uri="{FF2B5EF4-FFF2-40B4-BE49-F238E27FC236}">
                  <a16:creationId xmlns:a16="http://schemas.microsoft.com/office/drawing/2014/main" id="{00000000-0008-0000-0000-00004A000000}"/>
                </a:ext>
              </a:extLst>
            </xdr:cNvPr>
            <xdr:cNvCxnSpPr/>
          </xdr:nvCxnSpPr>
          <xdr:spPr>
            <a:xfrm>
              <a:off x="5498389" y="6187954"/>
              <a:ext cx="1446273" cy="390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83" name="Straight Connector 82">
              <a:extLst>
                <a:ext uri="{FF2B5EF4-FFF2-40B4-BE49-F238E27FC236}">
                  <a16:creationId xmlns:a16="http://schemas.microsoft.com/office/drawing/2014/main" id="{00000000-0008-0000-0000-000053000000}"/>
                </a:ext>
              </a:extLst>
            </xdr:cNvPr>
            <xdr:cNvCxnSpPr/>
          </xdr:nvCxnSpPr>
          <xdr:spPr>
            <a:xfrm>
              <a:off x="5490738" y="7060454"/>
              <a:ext cx="1446273" cy="390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84" name="Straight Connector 83">
              <a:extLst>
                <a:ext uri="{FF2B5EF4-FFF2-40B4-BE49-F238E27FC236}">
                  <a16:creationId xmlns:a16="http://schemas.microsoft.com/office/drawing/2014/main" id="{00000000-0008-0000-0000-000054000000}"/>
                </a:ext>
              </a:extLst>
            </xdr:cNvPr>
            <xdr:cNvCxnSpPr/>
          </xdr:nvCxnSpPr>
          <xdr:spPr>
            <a:xfrm>
              <a:off x="5494797" y="6631117"/>
              <a:ext cx="1446273" cy="3903"/>
            </a:xfrm>
            <a:prstGeom prst="line">
              <a:avLst/>
            </a:prstGeom>
          </xdr:spPr>
          <xdr:style>
            <a:lnRef idx="1">
              <a:schemeClr val="dk1"/>
            </a:lnRef>
            <a:fillRef idx="0">
              <a:schemeClr val="dk1"/>
            </a:fillRef>
            <a:effectRef idx="0">
              <a:schemeClr val="dk1"/>
            </a:effectRef>
            <a:fontRef idx="minor">
              <a:schemeClr val="tx1"/>
            </a:fontRef>
          </xdr:style>
        </xdr:cxnSp>
      </xdr:grpSp>
      <xdr:grpSp>
        <xdr:nvGrpSpPr>
          <xdr:cNvPr id="71" name="Group 70">
            <a:extLst>
              <a:ext uri="{FF2B5EF4-FFF2-40B4-BE49-F238E27FC236}">
                <a16:creationId xmlns:a16="http://schemas.microsoft.com/office/drawing/2014/main" id="{00000000-0008-0000-0000-000047000000}"/>
              </a:ext>
            </a:extLst>
          </xdr:cNvPr>
          <xdr:cNvGrpSpPr/>
        </xdr:nvGrpSpPr>
        <xdr:grpSpPr>
          <a:xfrm>
            <a:off x="7371714" y="5593292"/>
            <a:ext cx="1368000" cy="1836000"/>
            <a:chOff x="5490738" y="5549897"/>
            <a:chExt cx="1453924" cy="1964268"/>
          </a:xfrm>
        </xdr:grpSpPr>
        <xdr:sp macro="" textlink="AC31">
          <xdr:nvSpPr>
            <xdr:cNvPr id="72" name="Rectangle 71">
              <a:extLst>
                <a:ext uri="{FF2B5EF4-FFF2-40B4-BE49-F238E27FC236}">
                  <a16:creationId xmlns:a16="http://schemas.microsoft.com/office/drawing/2014/main" id="{00000000-0008-0000-0000-000048000000}"/>
                </a:ext>
              </a:extLst>
            </xdr:cNvPr>
            <xdr:cNvSpPr/>
          </xdr:nvSpPr>
          <xdr:spPr>
            <a:xfrm>
              <a:off x="5555190" y="5549897"/>
              <a:ext cx="1386000" cy="165103"/>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7804F665-C433-4A8A-8B1C-0D7062403089}" type="TxLink">
                <a:rPr lang="en-US" sz="1300" b="1" i="0" u="none" strike="noStrike">
                  <a:solidFill>
                    <a:srgbClr val="00B050"/>
                  </a:solidFill>
                  <a:latin typeface="Calibri"/>
                  <a:cs typeface="Calibri"/>
                </a:rPr>
                <a:pPr algn="ctr"/>
                <a:t>Status 1</a:t>
              </a:fld>
              <a:endParaRPr lang="en-IN" sz="1100"/>
            </a:p>
          </xdr:txBody>
        </xdr:sp>
        <xdr:sp macro="" textlink="">
          <xdr:nvSpPr>
            <xdr:cNvPr id="73" name="Rectangle 72">
              <a:extLst>
                <a:ext uri="{FF2B5EF4-FFF2-40B4-BE49-F238E27FC236}">
                  <a16:creationId xmlns:a16="http://schemas.microsoft.com/office/drawing/2014/main" id="{00000000-0008-0000-0000-000049000000}"/>
                </a:ext>
              </a:extLst>
            </xdr:cNvPr>
            <xdr:cNvSpPr/>
          </xdr:nvSpPr>
          <xdr:spPr>
            <a:xfrm>
              <a:off x="5492750" y="5757332"/>
              <a:ext cx="1449500" cy="1756833"/>
            </a:xfrm>
            <a:prstGeom prst="rect">
              <a:avLst/>
            </a:prstGeom>
            <a:ln w="3175">
              <a:solidFill>
                <a:srgbClr val="00B05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5523440" y="5774619"/>
              <a:ext cx="1386000" cy="223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Completed</a:t>
              </a:r>
            </a:p>
          </xdr:txBody>
        </xdr:sp>
        <xdr:sp macro="" textlink="'Pivot 3(Line chart)'!P13">
          <xdr:nvSpPr>
            <xdr:cNvPr id="76" name="Rectangle 75">
              <a:extLst>
                <a:ext uri="{FF2B5EF4-FFF2-40B4-BE49-F238E27FC236}">
                  <a16:creationId xmlns:a16="http://schemas.microsoft.com/office/drawing/2014/main" id="{00000000-0008-0000-0000-00004C000000}"/>
                </a:ext>
              </a:extLst>
            </xdr:cNvPr>
            <xdr:cNvSpPr/>
          </xdr:nvSpPr>
          <xdr:spPr>
            <a:xfrm>
              <a:off x="5523440" y="5988758"/>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67A0D177-A385-45AA-9697-71A8E4265852}" type="TxLink">
                <a:rPr lang="en-US" sz="1300" b="0" i="0" u="none" strike="noStrike">
                  <a:solidFill>
                    <a:srgbClr val="000000"/>
                  </a:solidFill>
                  <a:latin typeface="Calibri"/>
                  <a:cs typeface="Calibri"/>
                </a:rPr>
                <a:pPr algn="ctr"/>
                <a:t>26</a:t>
              </a:fld>
              <a:endParaRPr lang="en-IN" sz="1300"/>
            </a:p>
          </xdr:txBody>
        </xdr:sp>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5523232" y="6202897"/>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Work in progress</a:t>
              </a:r>
            </a:p>
          </xdr:txBody>
        </xdr:sp>
        <xdr:sp macro="" textlink="'Pivot 3(Line chart)'!P16">
          <xdr:nvSpPr>
            <xdr:cNvPr id="78" name="Rectangle 77">
              <a:extLst>
                <a:ext uri="{FF2B5EF4-FFF2-40B4-BE49-F238E27FC236}">
                  <a16:creationId xmlns:a16="http://schemas.microsoft.com/office/drawing/2014/main" id="{00000000-0008-0000-0000-00004E000000}"/>
                </a:ext>
              </a:extLst>
            </xdr:cNvPr>
            <xdr:cNvSpPr/>
          </xdr:nvSpPr>
          <xdr:spPr>
            <a:xfrm>
              <a:off x="5523440" y="6416087"/>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2325FD1C-DCE7-491C-A703-5156FB674FF1}" type="TxLink">
                <a:rPr lang="en-US" sz="1300" b="0" i="0" u="none" strike="noStrike">
                  <a:solidFill>
                    <a:srgbClr val="000000"/>
                  </a:solidFill>
                  <a:latin typeface="Calibri"/>
                  <a:cs typeface="Calibri"/>
                </a:rPr>
                <a:pPr algn="ctr"/>
                <a:t>69</a:t>
              </a:fld>
              <a:endParaRPr lang="en-IN" sz="1300"/>
            </a:p>
          </xdr:txBody>
        </xdr:sp>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5523232" y="6630226"/>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commenced</a:t>
              </a:r>
            </a:p>
          </xdr:txBody>
        </xdr:sp>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5523232" y="7057555"/>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Applicable</a:t>
              </a:r>
            </a:p>
          </xdr:txBody>
        </xdr:sp>
        <xdr:sp macro="" textlink="'Pivot 3(Line chart)'!P14">
          <xdr:nvSpPr>
            <xdr:cNvPr id="81" name="Rectangle 80">
              <a:extLst>
                <a:ext uri="{FF2B5EF4-FFF2-40B4-BE49-F238E27FC236}">
                  <a16:creationId xmlns:a16="http://schemas.microsoft.com/office/drawing/2014/main" id="{00000000-0008-0000-0000-000051000000}"/>
                </a:ext>
              </a:extLst>
            </xdr:cNvPr>
            <xdr:cNvSpPr/>
          </xdr:nvSpPr>
          <xdr:spPr>
            <a:xfrm>
              <a:off x="5523440" y="6843416"/>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D3E286AE-3015-4CCA-9406-5885D81FA1B1}" type="TxLink">
                <a:rPr lang="en-US" sz="1300" b="0" i="0" u="none" strike="noStrike">
                  <a:solidFill>
                    <a:srgbClr val="000000"/>
                  </a:solidFill>
                  <a:latin typeface="Calibri"/>
                  <a:cs typeface="Calibri"/>
                </a:rPr>
                <a:pPr algn="ctr"/>
                <a:t>11</a:t>
              </a:fld>
              <a:endParaRPr lang="en-IN" sz="1300"/>
            </a:p>
          </xdr:txBody>
        </xdr:sp>
        <xdr:sp macro="" textlink="'Pivot 3(Line chart)'!P15">
          <xdr:nvSpPr>
            <xdr:cNvPr id="82" name="Rectangle 81">
              <a:extLst>
                <a:ext uri="{FF2B5EF4-FFF2-40B4-BE49-F238E27FC236}">
                  <a16:creationId xmlns:a16="http://schemas.microsoft.com/office/drawing/2014/main" id="{00000000-0008-0000-0000-000052000000}"/>
                </a:ext>
              </a:extLst>
            </xdr:cNvPr>
            <xdr:cNvSpPr/>
          </xdr:nvSpPr>
          <xdr:spPr>
            <a:xfrm>
              <a:off x="5523440" y="7270748"/>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9136BFEE-BC3C-470E-AEFB-889FAC08C64C}" type="TxLink">
                <a:rPr lang="en-US" sz="1300" b="0" i="0" u="none" strike="noStrike">
                  <a:solidFill>
                    <a:srgbClr val="000000"/>
                  </a:solidFill>
                  <a:latin typeface="Calibri"/>
                  <a:cs typeface="Calibri"/>
                </a:rPr>
                <a:pPr algn="ctr"/>
                <a:t>15</a:t>
              </a:fld>
              <a:endParaRPr lang="en-IN" sz="1300"/>
            </a:p>
          </xdr:txBody>
        </xdr:sp>
        <xdr:cxnSp macro="">
          <xdr:nvCxnSpPr>
            <xdr:cNvPr id="85" name="Straight Connector 84">
              <a:extLst>
                <a:ext uri="{FF2B5EF4-FFF2-40B4-BE49-F238E27FC236}">
                  <a16:creationId xmlns:a16="http://schemas.microsoft.com/office/drawing/2014/main" id="{00000000-0008-0000-0000-000055000000}"/>
                </a:ext>
              </a:extLst>
            </xdr:cNvPr>
            <xdr:cNvCxnSpPr/>
          </xdr:nvCxnSpPr>
          <xdr:spPr>
            <a:xfrm>
              <a:off x="5498389" y="6187954"/>
              <a:ext cx="1446273" cy="3903"/>
            </a:xfrm>
            <a:prstGeom prst="line">
              <a:avLst/>
            </a:prstGeom>
            <a:ln>
              <a:solidFill>
                <a:srgbClr val="00B050"/>
              </a:solidFill>
            </a:ln>
          </xdr:spPr>
          <xdr:style>
            <a:lnRef idx="1">
              <a:schemeClr val="dk1"/>
            </a:lnRef>
            <a:fillRef idx="0">
              <a:schemeClr val="dk1"/>
            </a:fillRef>
            <a:effectRef idx="0">
              <a:schemeClr val="dk1"/>
            </a:effectRef>
            <a:fontRef idx="minor">
              <a:schemeClr val="tx1"/>
            </a:fontRef>
          </xdr:style>
        </xdr:cxnSp>
        <xdr:cxnSp macro="">
          <xdr:nvCxnSpPr>
            <xdr:cNvPr id="86" name="Straight Connector 85">
              <a:extLst>
                <a:ext uri="{FF2B5EF4-FFF2-40B4-BE49-F238E27FC236}">
                  <a16:creationId xmlns:a16="http://schemas.microsoft.com/office/drawing/2014/main" id="{00000000-0008-0000-0000-000056000000}"/>
                </a:ext>
              </a:extLst>
            </xdr:cNvPr>
            <xdr:cNvCxnSpPr/>
          </xdr:nvCxnSpPr>
          <xdr:spPr>
            <a:xfrm>
              <a:off x="5490738" y="7060454"/>
              <a:ext cx="1446273" cy="3903"/>
            </a:xfrm>
            <a:prstGeom prst="line">
              <a:avLst/>
            </a:prstGeom>
            <a:ln>
              <a:solidFill>
                <a:srgbClr val="00B050"/>
              </a:solidFill>
            </a:ln>
          </xdr:spPr>
          <xdr:style>
            <a:lnRef idx="1">
              <a:schemeClr val="dk1"/>
            </a:lnRef>
            <a:fillRef idx="0">
              <a:schemeClr val="dk1"/>
            </a:fillRef>
            <a:effectRef idx="0">
              <a:schemeClr val="dk1"/>
            </a:effectRef>
            <a:fontRef idx="minor">
              <a:schemeClr val="tx1"/>
            </a:fontRef>
          </xdr:style>
        </xdr:cxnSp>
        <xdr:cxnSp macro="">
          <xdr:nvCxnSpPr>
            <xdr:cNvPr id="87" name="Straight Connector 86">
              <a:extLst>
                <a:ext uri="{FF2B5EF4-FFF2-40B4-BE49-F238E27FC236}">
                  <a16:creationId xmlns:a16="http://schemas.microsoft.com/office/drawing/2014/main" id="{00000000-0008-0000-0000-000057000000}"/>
                </a:ext>
              </a:extLst>
            </xdr:cNvPr>
            <xdr:cNvCxnSpPr/>
          </xdr:nvCxnSpPr>
          <xdr:spPr>
            <a:xfrm>
              <a:off x="5494797" y="6631117"/>
              <a:ext cx="1446273" cy="3903"/>
            </a:xfrm>
            <a:prstGeom prst="line">
              <a:avLst/>
            </a:prstGeom>
            <a:ln>
              <a:solidFill>
                <a:srgbClr val="00B050"/>
              </a:solidFill>
            </a:ln>
          </xdr:spPr>
          <xdr:style>
            <a:lnRef idx="1">
              <a:schemeClr val="dk1"/>
            </a:lnRef>
            <a:fillRef idx="0">
              <a:schemeClr val="dk1"/>
            </a:fillRef>
            <a:effectRef idx="0">
              <a:schemeClr val="dk1"/>
            </a:effectRef>
            <a:fontRef idx="minor">
              <a:schemeClr val="tx1"/>
            </a:fontRef>
          </xdr:style>
        </xdr:cxnSp>
      </xdr:grpSp>
      <xdr:grpSp>
        <xdr:nvGrpSpPr>
          <xdr:cNvPr id="88" name="Group 87">
            <a:extLst>
              <a:ext uri="{FF2B5EF4-FFF2-40B4-BE49-F238E27FC236}">
                <a16:creationId xmlns:a16="http://schemas.microsoft.com/office/drawing/2014/main" id="{00000000-0008-0000-0000-000058000000}"/>
              </a:ext>
            </a:extLst>
          </xdr:cNvPr>
          <xdr:cNvGrpSpPr/>
        </xdr:nvGrpSpPr>
        <xdr:grpSpPr>
          <a:xfrm>
            <a:off x="9136273" y="5593292"/>
            <a:ext cx="1368000" cy="1836000"/>
            <a:chOff x="5490738" y="5549897"/>
            <a:chExt cx="1453924" cy="1964268"/>
          </a:xfrm>
        </xdr:grpSpPr>
        <xdr:sp macro="" textlink="AC32">
          <xdr:nvSpPr>
            <xdr:cNvPr id="89" name="Rectangle 88">
              <a:extLst>
                <a:ext uri="{FF2B5EF4-FFF2-40B4-BE49-F238E27FC236}">
                  <a16:creationId xmlns:a16="http://schemas.microsoft.com/office/drawing/2014/main" id="{00000000-0008-0000-0000-000059000000}"/>
                </a:ext>
              </a:extLst>
            </xdr:cNvPr>
            <xdr:cNvSpPr/>
          </xdr:nvSpPr>
          <xdr:spPr>
            <a:xfrm>
              <a:off x="5555190" y="5549897"/>
              <a:ext cx="1386000" cy="165103"/>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F988F3F5-3E29-4B6E-99B1-429A7759FD30}" type="TxLink">
                <a:rPr lang="en-US" sz="1300" b="1" i="0" u="none" strike="noStrike">
                  <a:solidFill>
                    <a:srgbClr val="00B0F0"/>
                  </a:solidFill>
                  <a:latin typeface="Calibri"/>
                  <a:cs typeface="Calibri"/>
                </a:rPr>
                <a:pPr algn="ctr"/>
                <a:t>Status 2</a:t>
              </a:fld>
              <a:endParaRPr lang="en-IN" sz="1100"/>
            </a:p>
          </xdr:txBody>
        </xdr:sp>
        <xdr:sp macro="" textlink="">
          <xdr:nvSpPr>
            <xdr:cNvPr id="90" name="Rectangle 89">
              <a:extLst>
                <a:ext uri="{FF2B5EF4-FFF2-40B4-BE49-F238E27FC236}">
                  <a16:creationId xmlns:a16="http://schemas.microsoft.com/office/drawing/2014/main" id="{00000000-0008-0000-0000-00005A000000}"/>
                </a:ext>
              </a:extLst>
            </xdr:cNvPr>
            <xdr:cNvSpPr/>
          </xdr:nvSpPr>
          <xdr:spPr>
            <a:xfrm>
              <a:off x="5492750" y="5757332"/>
              <a:ext cx="1449500" cy="1756833"/>
            </a:xfrm>
            <a:prstGeom prst="rect">
              <a:avLst/>
            </a:prstGeom>
            <a:ln w="3175">
              <a:solidFill>
                <a:srgbClr val="00B0F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sp macro="" textlink="">
          <xdr:nvSpPr>
            <xdr:cNvPr id="91" name="TextBox 90">
              <a:extLst>
                <a:ext uri="{FF2B5EF4-FFF2-40B4-BE49-F238E27FC236}">
                  <a16:creationId xmlns:a16="http://schemas.microsoft.com/office/drawing/2014/main" id="{00000000-0008-0000-0000-00005B000000}"/>
                </a:ext>
              </a:extLst>
            </xdr:cNvPr>
            <xdr:cNvSpPr txBox="1"/>
          </xdr:nvSpPr>
          <xdr:spPr>
            <a:xfrm>
              <a:off x="5523440" y="5774619"/>
              <a:ext cx="1386000" cy="223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Completed</a:t>
              </a:r>
            </a:p>
          </xdr:txBody>
        </xdr:sp>
        <xdr:sp macro="" textlink="'Pivot 3(Line chart)'!Q13">
          <xdr:nvSpPr>
            <xdr:cNvPr id="92" name="Rectangle 91">
              <a:extLst>
                <a:ext uri="{FF2B5EF4-FFF2-40B4-BE49-F238E27FC236}">
                  <a16:creationId xmlns:a16="http://schemas.microsoft.com/office/drawing/2014/main" id="{00000000-0008-0000-0000-00005C000000}"/>
                </a:ext>
              </a:extLst>
            </xdr:cNvPr>
            <xdr:cNvSpPr/>
          </xdr:nvSpPr>
          <xdr:spPr>
            <a:xfrm>
              <a:off x="5523440" y="5988758"/>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B7387329-AEA6-4661-B1B8-FED85A5CB5F9}" type="TxLink">
                <a:rPr lang="en-US" sz="1300" b="0" i="0" u="none" strike="noStrike">
                  <a:solidFill>
                    <a:srgbClr val="000000"/>
                  </a:solidFill>
                  <a:latin typeface="Calibri"/>
                  <a:cs typeface="Calibri"/>
                </a:rPr>
                <a:pPr algn="ctr"/>
                <a:t>16</a:t>
              </a:fld>
              <a:endParaRPr lang="en-IN" sz="1300"/>
            </a:p>
          </xdr:txBody>
        </xdr:sp>
        <xdr:sp macro="" textlink="">
          <xdr:nvSpPr>
            <xdr:cNvPr id="93" name="TextBox 92">
              <a:extLst>
                <a:ext uri="{FF2B5EF4-FFF2-40B4-BE49-F238E27FC236}">
                  <a16:creationId xmlns:a16="http://schemas.microsoft.com/office/drawing/2014/main" id="{00000000-0008-0000-0000-00005D000000}"/>
                </a:ext>
              </a:extLst>
            </xdr:cNvPr>
            <xdr:cNvSpPr txBox="1"/>
          </xdr:nvSpPr>
          <xdr:spPr>
            <a:xfrm>
              <a:off x="5523232" y="6202897"/>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Work in progress</a:t>
              </a:r>
            </a:p>
          </xdr:txBody>
        </xdr:sp>
        <xdr:sp macro="" textlink="'Pivot 3(Line chart)'!Q16">
          <xdr:nvSpPr>
            <xdr:cNvPr id="94" name="Rectangle 93">
              <a:extLst>
                <a:ext uri="{FF2B5EF4-FFF2-40B4-BE49-F238E27FC236}">
                  <a16:creationId xmlns:a16="http://schemas.microsoft.com/office/drawing/2014/main" id="{00000000-0008-0000-0000-00005E000000}"/>
                </a:ext>
              </a:extLst>
            </xdr:cNvPr>
            <xdr:cNvSpPr/>
          </xdr:nvSpPr>
          <xdr:spPr>
            <a:xfrm>
              <a:off x="5523440" y="6416087"/>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55B1B480-1CD7-4E5F-B06E-D93D77E115C1}" type="TxLink">
                <a:rPr lang="en-US" sz="1300" b="0" i="0" u="none" strike="noStrike">
                  <a:solidFill>
                    <a:srgbClr val="000000"/>
                  </a:solidFill>
                  <a:latin typeface="Calibri"/>
                  <a:cs typeface="Calibri"/>
                </a:rPr>
                <a:pPr algn="ctr"/>
                <a:t>77</a:t>
              </a:fld>
              <a:endParaRPr lang="en-IN" sz="1300"/>
            </a:p>
          </xdr:txBody>
        </xdr:sp>
        <xdr:sp macro="" textlink="">
          <xdr:nvSpPr>
            <xdr:cNvPr id="95" name="TextBox 94">
              <a:extLst>
                <a:ext uri="{FF2B5EF4-FFF2-40B4-BE49-F238E27FC236}">
                  <a16:creationId xmlns:a16="http://schemas.microsoft.com/office/drawing/2014/main" id="{00000000-0008-0000-0000-00005F000000}"/>
                </a:ext>
              </a:extLst>
            </xdr:cNvPr>
            <xdr:cNvSpPr txBox="1"/>
          </xdr:nvSpPr>
          <xdr:spPr>
            <a:xfrm>
              <a:off x="5523232" y="6630226"/>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commenced</a:t>
              </a:r>
            </a:p>
          </xdr:txBody>
        </xdr:sp>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5523232" y="7057555"/>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Applicable</a:t>
              </a:r>
            </a:p>
          </xdr:txBody>
        </xdr:sp>
        <xdr:sp macro="" textlink="'Pivot 3(Line chart)'!Q14">
          <xdr:nvSpPr>
            <xdr:cNvPr id="97" name="Rectangle 96">
              <a:extLst>
                <a:ext uri="{FF2B5EF4-FFF2-40B4-BE49-F238E27FC236}">
                  <a16:creationId xmlns:a16="http://schemas.microsoft.com/office/drawing/2014/main" id="{00000000-0008-0000-0000-000061000000}"/>
                </a:ext>
              </a:extLst>
            </xdr:cNvPr>
            <xdr:cNvSpPr/>
          </xdr:nvSpPr>
          <xdr:spPr>
            <a:xfrm>
              <a:off x="5523440" y="6843416"/>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AA3E2101-0C5A-42B6-9AD2-36DC3D95CF35}" type="TxLink">
                <a:rPr lang="en-US" sz="1300" b="0" i="0" u="none" strike="noStrike">
                  <a:solidFill>
                    <a:srgbClr val="000000"/>
                  </a:solidFill>
                  <a:latin typeface="Calibri"/>
                  <a:cs typeface="Calibri"/>
                </a:rPr>
                <a:pPr algn="ctr"/>
                <a:t>11</a:t>
              </a:fld>
              <a:endParaRPr lang="en-IN" sz="1300"/>
            </a:p>
          </xdr:txBody>
        </xdr:sp>
        <xdr:sp macro="" textlink="'Pivot 3(Line chart)'!Q15">
          <xdr:nvSpPr>
            <xdr:cNvPr id="98" name="Rectangle 97">
              <a:extLst>
                <a:ext uri="{FF2B5EF4-FFF2-40B4-BE49-F238E27FC236}">
                  <a16:creationId xmlns:a16="http://schemas.microsoft.com/office/drawing/2014/main" id="{00000000-0008-0000-0000-000062000000}"/>
                </a:ext>
              </a:extLst>
            </xdr:cNvPr>
            <xdr:cNvSpPr/>
          </xdr:nvSpPr>
          <xdr:spPr>
            <a:xfrm>
              <a:off x="5523440" y="7270748"/>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753A7D1F-E844-4647-8694-3E66FB8716C8}" type="TxLink">
                <a:rPr lang="en-US" sz="1300" b="0" i="0" u="none" strike="noStrike">
                  <a:solidFill>
                    <a:srgbClr val="000000"/>
                  </a:solidFill>
                  <a:latin typeface="Calibri"/>
                  <a:cs typeface="Calibri"/>
                </a:rPr>
                <a:pPr algn="ctr"/>
                <a:t>17</a:t>
              </a:fld>
              <a:endParaRPr lang="en-IN" sz="1300"/>
            </a:p>
          </xdr:txBody>
        </xdr:sp>
        <xdr:cxnSp macro="">
          <xdr:nvCxnSpPr>
            <xdr:cNvPr id="99" name="Straight Connector 98">
              <a:extLst>
                <a:ext uri="{FF2B5EF4-FFF2-40B4-BE49-F238E27FC236}">
                  <a16:creationId xmlns:a16="http://schemas.microsoft.com/office/drawing/2014/main" id="{00000000-0008-0000-0000-000063000000}"/>
                </a:ext>
              </a:extLst>
            </xdr:cNvPr>
            <xdr:cNvCxnSpPr/>
          </xdr:nvCxnSpPr>
          <xdr:spPr>
            <a:xfrm>
              <a:off x="5498389" y="6187954"/>
              <a:ext cx="1446273" cy="3903"/>
            </a:xfrm>
            <a:prstGeom prst="line">
              <a:avLst/>
            </a:prstGeom>
            <a:ln>
              <a:solidFill>
                <a:srgbClr val="00B0F0"/>
              </a:solidFill>
            </a:ln>
          </xdr:spPr>
          <xdr:style>
            <a:lnRef idx="1">
              <a:schemeClr val="dk1"/>
            </a:lnRef>
            <a:fillRef idx="0">
              <a:schemeClr val="dk1"/>
            </a:fillRef>
            <a:effectRef idx="0">
              <a:schemeClr val="dk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000-000064000000}"/>
                </a:ext>
              </a:extLst>
            </xdr:cNvPr>
            <xdr:cNvCxnSpPr/>
          </xdr:nvCxnSpPr>
          <xdr:spPr>
            <a:xfrm>
              <a:off x="5490738" y="7060454"/>
              <a:ext cx="1446273" cy="3903"/>
            </a:xfrm>
            <a:prstGeom prst="line">
              <a:avLst/>
            </a:prstGeom>
            <a:ln>
              <a:solidFill>
                <a:srgbClr val="00B0F0"/>
              </a:solidFill>
            </a:ln>
          </xdr:spPr>
          <xdr:style>
            <a:lnRef idx="1">
              <a:schemeClr val="dk1"/>
            </a:lnRef>
            <a:fillRef idx="0">
              <a:schemeClr val="dk1"/>
            </a:fillRef>
            <a:effectRef idx="0">
              <a:schemeClr val="dk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000-000065000000}"/>
                </a:ext>
              </a:extLst>
            </xdr:cNvPr>
            <xdr:cNvCxnSpPr/>
          </xdr:nvCxnSpPr>
          <xdr:spPr>
            <a:xfrm>
              <a:off x="5494797" y="6631117"/>
              <a:ext cx="1446273" cy="3903"/>
            </a:xfrm>
            <a:prstGeom prst="line">
              <a:avLst/>
            </a:prstGeom>
            <a:ln>
              <a:solidFill>
                <a:srgbClr val="00B0F0"/>
              </a:solidFill>
            </a:ln>
          </xdr:spPr>
          <xdr:style>
            <a:lnRef idx="1">
              <a:schemeClr val="dk1"/>
            </a:lnRef>
            <a:fillRef idx="0">
              <a:schemeClr val="dk1"/>
            </a:fillRef>
            <a:effectRef idx="0">
              <a:schemeClr val="dk1"/>
            </a:effectRef>
            <a:fontRef idx="minor">
              <a:schemeClr val="tx1"/>
            </a:fontRef>
          </xdr:style>
        </xdr:cxnSp>
      </xdr:grpSp>
      <xdr:grpSp>
        <xdr:nvGrpSpPr>
          <xdr:cNvPr id="105" name="Group 104">
            <a:extLst>
              <a:ext uri="{FF2B5EF4-FFF2-40B4-BE49-F238E27FC236}">
                <a16:creationId xmlns:a16="http://schemas.microsoft.com/office/drawing/2014/main" id="{00000000-0008-0000-0000-000069000000}"/>
              </a:ext>
            </a:extLst>
          </xdr:cNvPr>
          <xdr:cNvGrpSpPr/>
        </xdr:nvGrpSpPr>
        <xdr:grpSpPr>
          <a:xfrm>
            <a:off x="10900833" y="5593292"/>
            <a:ext cx="1368000" cy="1836000"/>
            <a:chOff x="5490738" y="5549897"/>
            <a:chExt cx="1453924" cy="1964268"/>
          </a:xfrm>
        </xdr:grpSpPr>
        <xdr:sp macro="" textlink="AC33">
          <xdr:nvSpPr>
            <xdr:cNvPr id="106" name="Rectangle 105">
              <a:extLst>
                <a:ext uri="{FF2B5EF4-FFF2-40B4-BE49-F238E27FC236}">
                  <a16:creationId xmlns:a16="http://schemas.microsoft.com/office/drawing/2014/main" id="{00000000-0008-0000-0000-00006A000000}"/>
                </a:ext>
              </a:extLst>
            </xdr:cNvPr>
            <xdr:cNvSpPr/>
          </xdr:nvSpPr>
          <xdr:spPr>
            <a:xfrm>
              <a:off x="5555190" y="5549897"/>
              <a:ext cx="1386000" cy="165103"/>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0DBDCCD1-D06F-4624-8B89-FD219E62D023}" type="TxLink">
                <a:rPr lang="en-US" sz="1300" b="1" i="0" u="none" strike="noStrike">
                  <a:solidFill>
                    <a:srgbClr val="7030A0"/>
                  </a:solidFill>
                  <a:latin typeface="Calibri"/>
                  <a:cs typeface="Calibri"/>
                </a:rPr>
                <a:pPr algn="ctr"/>
                <a:t>Status 3</a:t>
              </a:fld>
              <a:endParaRPr lang="en-IN" sz="1100"/>
            </a:p>
          </xdr:txBody>
        </xdr:sp>
        <xdr:sp macro="" textlink="">
          <xdr:nvSpPr>
            <xdr:cNvPr id="107" name="Rectangle 106">
              <a:extLst>
                <a:ext uri="{FF2B5EF4-FFF2-40B4-BE49-F238E27FC236}">
                  <a16:creationId xmlns:a16="http://schemas.microsoft.com/office/drawing/2014/main" id="{00000000-0008-0000-0000-00006B000000}"/>
                </a:ext>
              </a:extLst>
            </xdr:cNvPr>
            <xdr:cNvSpPr/>
          </xdr:nvSpPr>
          <xdr:spPr>
            <a:xfrm>
              <a:off x="5492750" y="5757332"/>
              <a:ext cx="1449500" cy="1756833"/>
            </a:xfrm>
            <a:prstGeom prst="rect">
              <a:avLst/>
            </a:prstGeom>
            <a:ln w="3175">
              <a:solidFill>
                <a:srgbClr val="7030A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sp macro="" textlink="">
          <xdr:nvSpPr>
            <xdr:cNvPr id="108" name="TextBox 107">
              <a:extLst>
                <a:ext uri="{FF2B5EF4-FFF2-40B4-BE49-F238E27FC236}">
                  <a16:creationId xmlns:a16="http://schemas.microsoft.com/office/drawing/2014/main" id="{00000000-0008-0000-0000-00006C000000}"/>
                </a:ext>
              </a:extLst>
            </xdr:cNvPr>
            <xdr:cNvSpPr txBox="1"/>
          </xdr:nvSpPr>
          <xdr:spPr>
            <a:xfrm>
              <a:off x="5523440" y="5774619"/>
              <a:ext cx="1386000" cy="223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Completed</a:t>
              </a:r>
            </a:p>
          </xdr:txBody>
        </xdr:sp>
        <xdr:sp macro="" textlink="'Pivot 3(Line chart)'!R13">
          <xdr:nvSpPr>
            <xdr:cNvPr id="109" name="Rectangle 108">
              <a:extLst>
                <a:ext uri="{FF2B5EF4-FFF2-40B4-BE49-F238E27FC236}">
                  <a16:creationId xmlns:a16="http://schemas.microsoft.com/office/drawing/2014/main" id="{00000000-0008-0000-0000-00006D000000}"/>
                </a:ext>
              </a:extLst>
            </xdr:cNvPr>
            <xdr:cNvSpPr/>
          </xdr:nvSpPr>
          <xdr:spPr>
            <a:xfrm>
              <a:off x="5523440" y="5988758"/>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2F14C5AC-ADFA-4645-9B5F-99AB359A243A}" type="TxLink">
                <a:rPr lang="en-US" sz="1300" b="0" i="0" u="none" strike="noStrike">
                  <a:solidFill>
                    <a:srgbClr val="000000"/>
                  </a:solidFill>
                  <a:latin typeface="Calibri"/>
                  <a:cs typeface="Calibri"/>
                </a:rPr>
                <a:pPr algn="ctr"/>
                <a:t>14</a:t>
              </a:fld>
              <a:endParaRPr lang="en-IN" sz="1300"/>
            </a:p>
          </xdr:txBody>
        </xdr:sp>
        <xdr:sp macro="" textlink="">
          <xdr:nvSpPr>
            <xdr:cNvPr id="110" name="TextBox 109">
              <a:extLst>
                <a:ext uri="{FF2B5EF4-FFF2-40B4-BE49-F238E27FC236}">
                  <a16:creationId xmlns:a16="http://schemas.microsoft.com/office/drawing/2014/main" id="{00000000-0008-0000-0000-00006E000000}"/>
                </a:ext>
              </a:extLst>
            </xdr:cNvPr>
            <xdr:cNvSpPr txBox="1"/>
          </xdr:nvSpPr>
          <xdr:spPr>
            <a:xfrm>
              <a:off x="5523232" y="6202897"/>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Work in progress</a:t>
              </a:r>
            </a:p>
          </xdr:txBody>
        </xdr:sp>
        <xdr:sp macro="" textlink="'Pivot 3(Line chart)'!R16">
          <xdr:nvSpPr>
            <xdr:cNvPr id="111" name="Rectangle 110">
              <a:extLst>
                <a:ext uri="{FF2B5EF4-FFF2-40B4-BE49-F238E27FC236}">
                  <a16:creationId xmlns:a16="http://schemas.microsoft.com/office/drawing/2014/main" id="{00000000-0008-0000-0000-00006F000000}"/>
                </a:ext>
              </a:extLst>
            </xdr:cNvPr>
            <xdr:cNvSpPr/>
          </xdr:nvSpPr>
          <xdr:spPr>
            <a:xfrm>
              <a:off x="5523440" y="6416087"/>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DC4D735E-CBB3-4766-A88B-EB6612B5D604}" type="TxLink">
                <a:rPr lang="en-US" sz="1300" b="0" i="0" u="none" strike="noStrike">
                  <a:solidFill>
                    <a:srgbClr val="000000"/>
                  </a:solidFill>
                  <a:latin typeface="Calibri"/>
                  <a:cs typeface="Calibri"/>
                </a:rPr>
                <a:pPr algn="ctr"/>
                <a:t>78</a:t>
              </a:fld>
              <a:endParaRPr lang="en-IN" sz="1300"/>
            </a:p>
          </xdr:txBody>
        </xdr:sp>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5523232" y="6630226"/>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commenced</a:t>
              </a:r>
            </a:p>
          </xdr:txBody>
        </xdr:sp>
        <xdr:sp macro="" textlink="">
          <xdr:nvSpPr>
            <xdr:cNvPr id="113" name="TextBox 112">
              <a:extLst>
                <a:ext uri="{FF2B5EF4-FFF2-40B4-BE49-F238E27FC236}">
                  <a16:creationId xmlns:a16="http://schemas.microsoft.com/office/drawing/2014/main" id="{00000000-0008-0000-0000-000071000000}"/>
                </a:ext>
              </a:extLst>
            </xdr:cNvPr>
            <xdr:cNvSpPr txBox="1"/>
          </xdr:nvSpPr>
          <xdr:spPr>
            <a:xfrm>
              <a:off x="5523232" y="7057555"/>
              <a:ext cx="1386417" cy="222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Applicable</a:t>
              </a:r>
            </a:p>
          </xdr:txBody>
        </xdr:sp>
        <xdr:sp macro="" textlink="'Pivot 3(Line chart)'!R14">
          <xdr:nvSpPr>
            <xdr:cNvPr id="114" name="Rectangle 113">
              <a:extLst>
                <a:ext uri="{FF2B5EF4-FFF2-40B4-BE49-F238E27FC236}">
                  <a16:creationId xmlns:a16="http://schemas.microsoft.com/office/drawing/2014/main" id="{00000000-0008-0000-0000-000072000000}"/>
                </a:ext>
              </a:extLst>
            </xdr:cNvPr>
            <xdr:cNvSpPr/>
          </xdr:nvSpPr>
          <xdr:spPr>
            <a:xfrm>
              <a:off x="5523440" y="6843416"/>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FB27FF8A-5C08-437C-BA7A-45854CA4E017}" type="TxLink">
                <a:rPr lang="en-US" sz="1300" b="0" i="0" u="none" strike="noStrike">
                  <a:solidFill>
                    <a:srgbClr val="000000"/>
                  </a:solidFill>
                  <a:latin typeface="Calibri"/>
                  <a:cs typeface="Calibri"/>
                </a:rPr>
                <a:pPr algn="ctr"/>
                <a:t>17</a:t>
              </a:fld>
              <a:endParaRPr lang="en-IN" sz="1300"/>
            </a:p>
          </xdr:txBody>
        </xdr:sp>
        <xdr:sp macro="" textlink="'Pivot 3(Line chart)'!R15">
          <xdr:nvSpPr>
            <xdr:cNvPr id="115" name="Rectangle 114">
              <a:extLst>
                <a:ext uri="{FF2B5EF4-FFF2-40B4-BE49-F238E27FC236}">
                  <a16:creationId xmlns:a16="http://schemas.microsoft.com/office/drawing/2014/main" id="{00000000-0008-0000-0000-000073000000}"/>
                </a:ext>
              </a:extLst>
            </xdr:cNvPr>
            <xdr:cNvSpPr/>
          </xdr:nvSpPr>
          <xdr:spPr>
            <a:xfrm>
              <a:off x="5523440" y="7270748"/>
              <a:ext cx="1386000" cy="2232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E6FF5592-E495-49FE-8D32-E4749C79451D}" type="TxLink">
                <a:rPr lang="en-US" sz="1300" b="0" i="0" u="none" strike="noStrike">
                  <a:solidFill>
                    <a:srgbClr val="000000"/>
                  </a:solidFill>
                  <a:latin typeface="Calibri"/>
                  <a:cs typeface="Calibri"/>
                </a:rPr>
                <a:pPr algn="ctr"/>
                <a:t>12</a:t>
              </a:fld>
              <a:endParaRPr lang="en-IN" sz="1300"/>
            </a:p>
          </xdr:txBody>
        </xdr:sp>
        <xdr:cxnSp macro="">
          <xdr:nvCxnSpPr>
            <xdr:cNvPr id="116" name="Straight Connector 115">
              <a:extLst>
                <a:ext uri="{FF2B5EF4-FFF2-40B4-BE49-F238E27FC236}">
                  <a16:creationId xmlns:a16="http://schemas.microsoft.com/office/drawing/2014/main" id="{00000000-0008-0000-0000-000074000000}"/>
                </a:ext>
              </a:extLst>
            </xdr:cNvPr>
            <xdr:cNvCxnSpPr/>
          </xdr:nvCxnSpPr>
          <xdr:spPr>
            <a:xfrm>
              <a:off x="5498389" y="6187954"/>
              <a:ext cx="1446273" cy="3903"/>
            </a:xfrm>
            <a:prstGeom prst="line">
              <a:avLst/>
            </a:prstGeom>
            <a:ln>
              <a:solidFill>
                <a:srgbClr val="7030A0"/>
              </a:solidFill>
            </a:ln>
          </xdr:spPr>
          <xdr:style>
            <a:lnRef idx="1">
              <a:schemeClr val="dk1"/>
            </a:lnRef>
            <a:fillRef idx="0">
              <a:schemeClr val="dk1"/>
            </a:fillRef>
            <a:effectRef idx="0">
              <a:schemeClr val="dk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000-000075000000}"/>
                </a:ext>
              </a:extLst>
            </xdr:cNvPr>
            <xdr:cNvCxnSpPr/>
          </xdr:nvCxnSpPr>
          <xdr:spPr>
            <a:xfrm>
              <a:off x="5490738" y="7060454"/>
              <a:ext cx="1446273" cy="3903"/>
            </a:xfrm>
            <a:prstGeom prst="line">
              <a:avLst/>
            </a:prstGeom>
            <a:ln>
              <a:solidFill>
                <a:srgbClr val="7030A0"/>
              </a:solidFill>
            </a:ln>
          </xdr:spPr>
          <xdr:style>
            <a:lnRef idx="1">
              <a:schemeClr val="dk1"/>
            </a:lnRef>
            <a:fillRef idx="0">
              <a:schemeClr val="dk1"/>
            </a:fillRef>
            <a:effectRef idx="0">
              <a:schemeClr val="dk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000-000076000000}"/>
                </a:ext>
              </a:extLst>
            </xdr:cNvPr>
            <xdr:cNvCxnSpPr/>
          </xdr:nvCxnSpPr>
          <xdr:spPr>
            <a:xfrm>
              <a:off x="5494797" y="6631117"/>
              <a:ext cx="1446273" cy="3903"/>
            </a:xfrm>
            <a:prstGeom prst="line">
              <a:avLst/>
            </a:prstGeom>
            <a:ln>
              <a:solidFill>
                <a:srgbClr val="7030A0"/>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8</xdr:col>
      <xdr:colOff>174536</xdr:colOff>
      <xdr:row>5</xdr:row>
      <xdr:rowOff>97901</xdr:rowOff>
    </xdr:from>
    <xdr:to>
      <xdr:col>8</xdr:col>
      <xdr:colOff>581336</xdr:colOff>
      <xdr:row>6</xdr:row>
      <xdr:rowOff>186119</xdr:rowOff>
    </xdr:to>
    <xdr:sp macro="" textlink="'Pivot 2(Completion Status)'!$I$5">
      <xdr:nvSpPr>
        <xdr:cNvPr id="104" name="Rectangle 103">
          <a:extLst>
            <a:ext uri="{FF2B5EF4-FFF2-40B4-BE49-F238E27FC236}">
              <a16:creationId xmlns:a16="http://schemas.microsoft.com/office/drawing/2014/main" id="{00000000-0008-0000-0000-000068000000}"/>
            </a:ext>
          </a:extLst>
        </xdr:cNvPr>
        <xdr:cNvSpPr/>
      </xdr:nvSpPr>
      <xdr:spPr>
        <a:xfrm>
          <a:off x="4973470" y="1066016"/>
          <a:ext cx="406800" cy="2808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6E4D3194-B8B3-422D-BA28-1668C3B20082}" type="TxLink">
            <a:rPr lang="en-US" sz="1000" b="1" i="0" u="none" strike="noStrike">
              <a:solidFill>
                <a:srgbClr val="000000"/>
              </a:solidFill>
              <a:latin typeface="Calibri"/>
              <a:ea typeface="+mn-ea"/>
              <a:cs typeface="Calibri"/>
            </a:rPr>
            <a:pPr marL="0" indent="0" algn="ctr"/>
            <a:t>2%</a:t>
          </a:fld>
          <a:endParaRPr lang="en-US" sz="1000" b="1" i="0" u="none" strike="noStrike">
            <a:solidFill>
              <a:srgbClr val="000000"/>
            </a:solidFill>
            <a:latin typeface="Calibri"/>
            <a:ea typeface="+mn-ea"/>
            <a:cs typeface="Calibri"/>
          </a:endParaRPr>
        </a:p>
      </xdr:txBody>
    </xdr:sp>
    <xdr:clientData/>
  </xdr:twoCellAnchor>
  <xdr:twoCellAnchor>
    <xdr:from>
      <xdr:col>8</xdr:col>
      <xdr:colOff>173729</xdr:colOff>
      <xdr:row>10</xdr:row>
      <xdr:rowOff>144517</xdr:rowOff>
    </xdr:from>
    <xdr:to>
      <xdr:col>8</xdr:col>
      <xdr:colOff>582144</xdr:colOff>
      <xdr:row>12</xdr:row>
      <xdr:rowOff>41639</xdr:rowOff>
    </xdr:to>
    <xdr:sp macro="" textlink="'Pivot 2(Completion Status)'!$I$7">
      <xdr:nvSpPr>
        <xdr:cNvPr id="119" name="Rectangle 118">
          <a:extLst>
            <a:ext uri="{FF2B5EF4-FFF2-40B4-BE49-F238E27FC236}">
              <a16:creationId xmlns:a16="http://schemas.microsoft.com/office/drawing/2014/main" id="{00000000-0008-0000-0000-000077000000}"/>
            </a:ext>
          </a:extLst>
        </xdr:cNvPr>
        <xdr:cNvSpPr/>
      </xdr:nvSpPr>
      <xdr:spPr>
        <a:xfrm>
          <a:off x="4972663" y="2127591"/>
          <a:ext cx="408415" cy="282286"/>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F05D7305-D0A6-48B4-90D7-615220F8B200}" type="TxLink">
            <a:rPr lang="en-US" sz="1000" b="1" i="0" u="none" strike="noStrike">
              <a:solidFill>
                <a:srgbClr val="000000"/>
              </a:solidFill>
              <a:latin typeface="Calibri"/>
              <a:cs typeface="Calibri"/>
            </a:rPr>
            <a:pPr algn="ctr"/>
            <a:t>98%</a:t>
          </a:fld>
          <a:endParaRPr lang="en-US" sz="1000" b="1"/>
        </a:p>
      </xdr:txBody>
    </xdr:sp>
    <xdr:clientData/>
  </xdr:twoCellAnchor>
  <xdr:twoCellAnchor>
    <xdr:from>
      <xdr:col>8</xdr:col>
      <xdr:colOff>174536</xdr:colOff>
      <xdr:row>8</xdr:row>
      <xdr:rowOff>24918</xdr:rowOff>
    </xdr:from>
    <xdr:to>
      <xdr:col>8</xdr:col>
      <xdr:colOff>581336</xdr:colOff>
      <xdr:row>9</xdr:row>
      <xdr:rowOff>87111</xdr:rowOff>
    </xdr:to>
    <xdr:sp macro="" textlink="'Pivot 2(Completion Status)'!$I$6">
      <xdr:nvSpPr>
        <xdr:cNvPr id="120" name="Rectangle 119">
          <a:extLst>
            <a:ext uri="{FF2B5EF4-FFF2-40B4-BE49-F238E27FC236}">
              <a16:creationId xmlns:a16="http://schemas.microsoft.com/office/drawing/2014/main" id="{00000000-0008-0000-0000-000078000000}"/>
            </a:ext>
          </a:extLst>
        </xdr:cNvPr>
        <xdr:cNvSpPr/>
      </xdr:nvSpPr>
      <xdr:spPr>
        <a:xfrm>
          <a:off x="4973470" y="1596803"/>
          <a:ext cx="406800" cy="2808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4E8BEC6A-5047-4069-997B-2815CC175414}" type="TxLink">
            <a:rPr lang="en-US" sz="1000" b="1" i="0" u="none" strike="noStrike">
              <a:solidFill>
                <a:srgbClr val="000000"/>
              </a:solidFill>
              <a:latin typeface="Calibri"/>
              <a:ea typeface="+mn-ea"/>
              <a:cs typeface="Calibri"/>
            </a:rPr>
            <a:pPr marL="0" indent="0" algn="ctr"/>
            <a:t> </a:t>
          </a:fld>
          <a:endParaRPr lang="en-US" sz="1000" b="1" i="0" u="none" strike="noStrike">
            <a:solidFill>
              <a:srgbClr val="000000"/>
            </a:solidFill>
            <a:latin typeface="Calibri"/>
            <a:ea typeface="+mn-ea"/>
            <a:cs typeface="Calibri"/>
          </a:endParaRPr>
        </a:p>
      </xdr:txBody>
    </xdr:sp>
    <xdr:clientData/>
  </xdr:twoCellAnchor>
  <xdr:twoCellAnchor>
    <xdr:from>
      <xdr:col>8</xdr:col>
      <xdr:colOff>174536</xdr:colOff>
      <xdr:row>2</xdr:row>
      <xdr:rowOff>144860</xdr:rowOff>
    </xdr:from>
    <xdr:to>
      <xdr:col>8</xdr:col>
      <xdr:colOff>581336</xdr:colOff>
      <xdr:row>4</xdr:row>
      <xdr:rowOff>40496</xdr:rowOff>
    </xdr:to>
    <xdr:sp macro="" textlink="'Pivot 2(Completion Status)'!$I$4">
      <xdr:nvSpPr>
        <xdr:cNvPr id="121" name="Rectangle 120">
          <a:extLst>
            <a:ext uri="{FF2B5EF4-FFF2-40B4-BE49-F238E27FC236}">
              <a16:creationId xmlns:a16="http://schemas.microsoft.com/office/drawing/2014/main" id="{00000000-0008-0000-0000-000079000000}"/>
            </a:ext>
          </a:extLst>
        </xdr:cNvPr>
        <xdr:cNvSpPr/>
      </xdr:nvSpPr>
      <xdr:spPr>
        <a:xfrm>
          <a:off x="4973470" y="535229"/>
          <a:ext cx="406800" cy="2808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9E6B738C-7E92-4162-8C79-DBD804C6F6E3}" type="TxLink">
            <a:rPr lang="en-US" sz="1000" b="1" i="0" u="none" strike="noStrike">
              <a:solidFill>
                <a:srgbClr val="000000"/>
              </a:solidFill>
              <a:latin typeface="Calibri"/>
              <a:ea typeface="+mn-ea"/>
              <a:cs typeface="Calibri"/>
            </a:rPr>
            <a:pPr marL="0" indent="0" algn="ctr"/>
            <a:t>1%</a:t>
          </a:fld>
          <a:endParaRPr lang="en-US" sz="1000" b="1" i="0" u="none" strike="noStrike">
            <a:solidFill>
              <a:srgbClr val="000000"/>
            </a:solidFill>
            <a:latin typeface="Calibri"/>
            <a:ea typeface="+mn-ea"/>
            <a:cs typeface="Calibri"/>
          </a:endParaRPr>
        </a:p>
      </xdr:txBody>
    </xdr:sp>
    <xdr:clientData/>
  </xdr:twoCellAnchor>
  <xdr:twoCellAnchor editAs="oneCell">
    <xdr:from>
      <xdr:col>0</xdr:col>
      <xdr:colOff>37353</xdr:colOff>
      <xdr:row>0</xdr:row>
      <xdr:rowOff>0</xdr:rowOff>
    </xdr:from>
    <xdr:to>
      <xdr:col>2</xdr:col>
      <xdr:colOff>652182</xdr:colOff>
      <xdr:row>7</xdr:row>
      <xdr:rowOff>140634</xdr:rowOff>
    </xdr:to>
    <mc:AlternateContent xmlns:mc="http://schemas.openxmlformats.org/markup-compatibility/2006" xmlns:a14="http://schemas.microsoft.com/office/drawing/2010/main">
      <mc:Choice Requires="a14">
        <xdr:graphicFrame macro="">
          <xdr:nvGraphicFramePr>
            <xdr:cNvPr id="122" name="Partner  2">
              <a:extLst>
                <a:ext uri="{FF2B5EF4-FFF2-40B4-BE49-F238E27FC236}">
                  <a16:creationId xmlns:a16="http://schemas.microsoft.com/office/drawing/2014/main" id="{00000000-0008-0000-0000-00007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rtner  2"/>
            </a:graphicData>
          </a:graphic>
        </xdr:graphicFrame>
      </mc:Choice>
      <mc:Fallback xmlns="">
        <xdr:sp macro="" textlink="">
          <xdr:nvSpPr>
            <xdr:cNvPr id="0" name=""/>
            <xdr:cNvSpPr>
              <a:spLocks noTextEdit="1"/>
            </xdr:cNvSpPr>
          </xdr:nvSpPr>
          <xdr:spPr>
            <a:xfrm>
              <a:off x="37353" y="0"/>
              <a:ext cx="1842496" cy="14847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631240</xdr:colOff>
      <xdr:row>11</xdr:row>
      <xdr:rowOff>132292</xdr:rowOff>
    </xdr:from>
    <xdr:to>
      <xdr:col>20</xdr:col>
      <xdr:colOff>224692</xdr:colOff>
      <xdr:row>37</xdr:row>
      <xdr:rowOff>183533</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5561380" y="2281132"/>
          <a:ext cx="7129632" cy="5042341"/>
          <a:chOff x="5396177" y="384308"/>
          <a:chExt cx="6891699" cy="5073694"/>
        </a:xfrm>
      </xdr:grpSpPr>
      <xdr:graphicFrame macro="">
        <xdr:nvGraphicFramePr>
          <xdr:cNvPr id="16" name="Chart 15">
            <a:hlinkClick xmlns:r="http://schemas.openxmlformats.org/officeDocument/2006/relationships" r:id="rId4" tooltip="If any of the circle above steps is missing then it is indication that the step has been missed."/>
            <a:extLst>
              <a:ext uri="{FF2B5EF4-FFF2-40B4-BE49-F238E27FC236}">
                <a16:creationId xmlns:a16="http://schemas.microsoft.com/office/drawing/2014/main" id="{00000000-0008-0000-0000-000010000000}"/>
              </a:ext>
            </a:extLst>
          </xdr:cNvPr>
          <xdr:cNvGraphicFramePr>
            <a:graphicFrameLocks/>
          </xdr:cNvGraphicFramePr>
        </xdr:nvGraphicFramePr>
        <xdr:xfrm>
          <a:off x="5396177" y="577902"/>
          <a:ext cx="6858459" cy="1456678"/>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9" name="Chart 18">
            <a:hlinkClick xmlns:r="http://schemas.openxmlformats.org/officeDocument/2006/relationships" r:id="rId6" tooltip="If any of the circle above steps is missing then it is indication that the step has been missed."/>
            <a:extLst>
              <a:ext uri="{FF2B5EF4-FFF2-40B4-BE49-F238E27FC236}">
                <a16:creationId xmlns:a16="http://schemas.microsoft.com/office/drawing/2014/main" id="{00000000-0008-0000-0000-000013000000}"/>
              </a:ext>
            </a:extLst>
          </xdr:cNvPr>
          <xdr:cNvGraphicFramePr>
            <a:graphicFrameLocks/>
          </xdr:cNvGraphicFramePr>
        </xdr:nvGraphicFramePr>
        <xdr:xfrm>
          <a:off x="5427493" y="4062629"/>
          <a:ext cx="6860383" cy="1395373"/>
        </xdr:xfrm>
        <a:graphic>
          <a:graphicData uri="http://schemas.openxmlformats.org/drawingml/2006/chart">
            <c:chart xmlns:c="http://schemas.openxmlformats.org/drawingml/2006/chart" xmlns:r="http://schemas.openxmlformats.org/officeDocument/2006/relationships" r:id="rId7"/>
          </a:graphicData>
        </a:graphic>
      </xdr:graphicFrame>
      <xdr:sp macro="" textlink="AE7">
        <xdr:nvSpPr>
          <xdr:cNvPr id="7" name="Rectangle 6">
            <a:extLst>
              <a:ext uri="{FF2B5EF4-FFF2-40B4-BE49-F238E27FC236}">
                <a16:creationId xmlns:a16="http://schemas.microsoft.com/office/drawing/2014/main" id="{00000000-0008-0000-0000-000007000000}"/>
              </a:ext>
            </a:extLst>
          </xdr:cNvPr>
          <xdr:cNvSpPr/>
        </xdr:nvSpPr>
        <xdr:spPr>
          <a:xfrm>
            <a:off x="5448374" y="384456"/>
            <a:ext cx="1586737" cy="188364"/>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4F3C2C97-F01A-4303-ABE8-DF5CF871173B}" type="TxLink">
              <a:rPr lang="en-US" sz="1300" b="1" i="0" u="none" strike="noStrike">
                <a:solidFill>
                  <a:srgbClr val="00B050"/>
                </a:solidFill>
                <a:latin typeface="Calibri"/>
                <a:cs typeface="Calibri"/>
              </a:rPr>
              <a:pPr algn="l"/>
              <a:t>Status 1:</a:t>
            </a:fld>
            <a:endParaRPr lang="en-IN" sz="1100"/>
          </a:p>
        </xdr:txBody>
      </xdr:sp>
      <xdr:sp macro="" textlink="AE9">
        <xdr:nvSpPr>
          <xdr:cNvPr id="23" name="Rectangle 22">
            <a:extLst>
              <a:ext uri="{FF2B5EF4-FFF2-40B4-BE49-F238E27FC236}">
                <a16:creationId xmlns:a16="http://schemas.microsoft.com/office/drawing/2014/main" id="{00000000-0008-0000-0000-000017000000}"/>
              </a:ext>
            </a:extLst>
          </xdr:cNvPr>
          <xdr:cNvSpPr/>
        </xdr:nvSpPr>
        <xdr:spPr>
          <a:xfrm>
            <a:off x="5448374" y="3818803"/>
            <a:ext cx="1586737" cy="188364"/>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7005A045-2433-4CF3-ACDE-A9C7A06D9020}" type="TxLink">
              <a:rPr lang="en-US" sz="1300" b="1" i="0" u="none" strike="noStrike">
                <a:solidFill>
                  <a:srgbClr val="7030A0"/>
                </a:solidFill>
                <a:latin typeface="Calibri"/>
                <a:cs typeface="Calibri"/>
              </a:rPr>
              <a:pPr algn="l"/>
              <a:t>Status 3:</a:t>
            </a:fld>
            <a:endParaRPr lang="en-IN" sz="1100"/>
          </a:p>
        </xdr:txBody>
      </xdr:sp>
      <xdr:sp macro="" textlink="AE8">
        <xdr:nvSpPr>
          <xdr:cNvPr id="24" name="Rectangle 23">
            <a:extLst>
              <a:ext uri="{FF2B5EF4-FFF2-40B4-BE49-F238E27FC236}">
                <a16:creationId xmlns:a16="http://schemas.microsoft.com/office/drawing/2014/main" id="{00000000-0008-0000-0000-000018000000}"/>
              </a:ext>
            </a:extLst>
          </xdr:cNvPr>
          <xdr:cNvSpPr/>
        </xdr:nvSpPr>
        <xdr:spPr>
          <a:xfrm>
            <a:off x="5448374" y="2136236"/>
            <a:ext cx="1586737" cy="169527"/>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BE62F8C2-BCE4-4986-B701-233F9B3E5CCE}" type="TxLink">
              <a:rPr lang="en-US" sz="1300" b="1" i="0" u="none" strike="noStrike">
                <a:solidFill>
                  <a:srgbClr val="00B0F0"/>
                </a:solidFill>
                <a:latin typeface="Calibri"/>
                <a:cs typeface="Calibri"/>
              </a:rPr>
              <a:pPr algn="l"/>
              <a:t>Status 2:</a:t>
            </a:fld>
            <a:endParaRPr lang="en-IN" sz="1100"/>
          </a:p>
        </xdr:txBody>
      </xdr:sp>
      <xdr:sp macro="" textlink="AH7">
        <xdr:nvSpPr>
          <xdr:cNvPr id="4" name="Rectangle 3">
            <a:extLst>
              <a:ext uri="{FF2B5EF4-FFF2-40B4-BE49-F238E27FC236}">
                <a16:creationId xmlns:a16="http://schemas.microsoft.com/office/drawing/2014/main" id="{00000000-0008-0000-0000-000004000000}"/>
              </a:ext>
            </a:extLst>
          </xdr:cNvPr>
          <xdr:cNvSpPr/>
        </xdr:nvSpPr>
        <xdr:spPr>
          <a:xfrm>
            <a:off x="7024671" y="384308"/>
            <a:ext cx="5031624" cy="18866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1B10A6B0-D122-45F5-B413-48E62C4673D7}" type="TxLink">
              <a:rPr lang="en-US" sz="1100" b="0" i="0" u="none" strike="noStrike">
                <a:solidFill>
                  <a:srgbClr val="000000"/>
                </a:solidFill>
                <a:latin typeface="Calibri"/>
                <a:cs typeface="Calibri"/>
              </a:rPr>
              <a:pPr algn="l"/>
              <a:t> </a:t>
            </a:fld>
            <a:endParaRPr lang="en-IN" sz="1100"/>
          </a:p>
        </xdr:txBody>
      </xdr:sp>
      <xdr:sp macro="" textlink="AH8">
        <xdr:nvSpPr>
          <xdr:cNvPr id="26" name="Rectangle 25">
            <a:extLst>
              <a:ext uri="{FF2B5EF4-FFF2-40B4-BE49-F238E27FC236}">
                <a16:creationId xmlns:a16="http://schemas.microsoft.com/office/drawing/2014/main" id="{00000000-0008-0000-0000-00001A000000}"/>
              </a:ext>
            </a:extLst>
          </xdr:cNvPr>
          <xdr:cNvSpPr/>
        </xdr:nvSpPr>
        <xdr:spPr>
          <a:xfrm>
            <a:off x="7024671" y="2126670"/>
            <a:ext cx="5031624" cy="18866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BDC3BF18-6F0A-4F8D-B71C-427DADCBF6DB}" type="TxLink">
              <a:rPr lang="en-US" sz="1100" b="0" i="0" u="none" strike="noStrike">
                <a:solidFill>
                  <a:srgbClr val="000000"/>
                </a:solidFill>
                <a:latin typeface="Calibri"/>
                <a:cs typeface="Calibri"/>
              </a:rPr>
              <a:pPr algn="l"/>
              <a:t> </a:t>
            </a:fld>
            <a:endParaRPr lang="en-IN" sz="1100"/>
          </a:p>
        </xdr:txBody>
      </xdr:sp>
      <xdr:sp macro="" textlink="AH9">
        <xdr:nvSpPr>
          <xdr:cNvPr id="27" name="Rectangle 26">
            <a:extLst>
              <a:ext uri="{FF2B5EF4-FFF2-40B4-BE49-F238E27FC236}">
                <a16:creationId xmlns:a16="http://schemas.microsoft.com/office/drawing/2014/main" id="{00000000-0008-0000-0000-00001B000000}"/>
              </a:ext>
            </a:extLst>
          </xdr:cNvPr>
          <xdr:cNvSpPr/>
        </xdr:nvSpPr>
        <xdr:spPr>
          <a:xfrm>
            <a:off x="7024671" y="3818655"/>
            <a:ext cx="5031624" cy="18866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56D1E23F-F935-4698-A044-241B6D41431D}" type="TxLink">
              <a:rPr lang="en-US" sz="1100" b="0" i="0" u="none" strike="noStrike">
                <a:solidFill>
                  <a:srgbClr val="000000"/>
                </a:solidFill>
                <a:latin typeface="Calibri"/>
                <a:cs typeface="Calibri"/>
              </a:rPr>
              <a:pPr algn="l"/>
              <a:t> </a:t>
            </a:fld>
            <a:endParaRPr lang="en-IN" sz="1100"/>
          </a:p>
        </xdr:txBody>
      </xdr:sp>
      <xdr:graphicFrame macro="">
        <xdr:nvGraphicFramePr>
          <xdr:cNvPr id="123" name="Chart 122">
            <a:extLst>
              <a:ext uri="{FF2B5EF4-FFF2-40B4-BE49-F238E27FC236}">
                <a16:creationId xmlns:a16="http://schemas.microsoft.com/office/drawing/2014/main" id="{00000000-0008-0000-0000-00007B000000}"/>
              </a:ext>
            </a:extLst>
          </xdr:cNvPr>
          <xdr:cNvGraphicFramePr>
            <a:graphicFrameLocks/>
          </xdr:cNvGraphicFramePr>
        </xdr:nvGraphicFramePr>
        <xdr:xfrm>
          <a:off x="5427266" y="2331641"/>
          <a:ext cx="6840000" cy="1409700"/>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editAs="oneCell">
    <xdr:from>
      <xdr:col>20</xdr:col>
      <xdr:colOff>330200</xdr:colOff>
      <xdr:row>0</xdr:row>
      <xdr:rowOff>93133</xdr:rowOff>
    </xdr:from>
    <xdr:to>
      <xdr:col>22</xdr:col>
      <xdr:colOff>601133</xdr:colOff>
      <xdr:row>10</xdr:row>
      <xdr:rowOff>84666</xdr:rowOff>
    </xdr:to>
    <mc:AlternateContent xmlns:mc="http://schemas.openxmlformats.org/markup-compatibility/2006" xmlns:a14="http://schemas.microsoft.com/office/drawing/2010/main">
      <mc:Choice Requires="a14">
        <xdr:graphicFrame macro="">
          <xdr:nvGraphicFramePr>
            <xdr:cNvPr id="11" name="Audit co-ordinator 1">
              <a:extLst>
                <a:ext uri="{FF2B5EF4-FFF2-40B4-BE49-F238E27FC236}">
                  <a16:creationId xmlns:a16="http://schemas.microsoft.com/office/drawing/2014/main" id="{00000000-0008-0000-00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udit co-ordinator 1"/>
            </a:graphicData>
          </a:graphic>
        </xdr:graphicFrame>
      </mc:Choice>
      <mc:Fallback xmlns="">
        <xdr:sp macro="" textlink="">
          <xdr:nvSpPr>
            <xdr:cNvPr id="0" name=""/>
            <xdr:cNvSpPr>
              <a:spLocks noTextEdit="1"/>
            </xdr:cNvSpPr>
          </xdr:nvSpPr>
          <xdr:spPr>
            <a:xfrm>
              <a:off x="12818533" y="93133"/>
              <a:ext cx="1828800" cy="1981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2.xml><?xml version="1.0" encoding="utf-8"?>
<xdr:wsDr xmlns:xdr="http://schemas.openxmlformats.org/drawingml/2006/spreadsheetDrawing" xmlns:a="http://schemas.openxmlformats.org/drawingml/2006/main">
  <xdr:twoCellAnchor>
    <xdr:from>
      <xdr:col>3</xdr:col>
      <xdr:colOff>34782</xdr:colOff>
      <xdr:row>0</xdr:row>
      <xdr:rowOff>0</xdr:rowOff>
    </xdr:from>
    <xdr:to>
      <xdr:col>3</xdr:col>
      <xdr:colOff>1209532</xdr:colOff>
      <xdr:row>1</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4807865" y="0"/>
          <a:ext cx="1174750" cy="1905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IN" sz="1400" b="1">
              <a:solidFill>
                <a:sysClr val="windowText" lastClr="000000"/>
              </a:solidFill>
            </a:rPr>
            <a:t>Dashboard</a:t>
          </a:r>
        </a:p>
      </xdr:txBody>
    </xdr:sp>
    <xdr:clientData/>
  </xdr:twoCellAnchor>
  <xdr:twoCellAnchor>
    <xdr:from>
      <xdr:col>3</xdr:col>
      <xdr:colOff>35357</xdr:colOff>
      <xdr:row>1</xdr:row>
      <xdr:rowOff>77257</xdr:rowOff>
    </xdr:from>
    <xdr:to>
      <xdr:col>3</xdr:col>
      <xdr:colOff>1208957</xdr:colOff>
      <xdr:row>2</xdr:row>
      <xdr:rowOff>77557</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4808440" y="267757"/>
          <a:ext cx="1173600" cy="1908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IN" sz="1100" b="1">
              <a:solidFill>
                <a:schemeClr val="tx1"/>
              </a:solidFill>
            </a:rPr>
            <a:t>Report(Partner)</a:t>
          </a:r>
        </a:p>
      </xdr:txBody>
    </xdr:sp>
    <xdr:clientData/>
  </xdr:twoCellAnchor>
  <mc:AlternateContent xmlns:mc="http://schemas.openxmlformats.org/markup-compatibility/2006">
    <mc:Choice xmlns:a14="http://schemas.microsoft.com/office/drawing/2010/main" Requires="a14">
      <xdr:twoCellAnchor>
        <xdr:from>
          <xdr:col>7</xdr:col>
          <xdr:colOff>396240</xdr:colOff>
          <xdr:row>0</xdr:row>
          <xdr:rowOff>175260</xdr:rowOff>
        </xdr:from>
        <xdr:to>
          <xdr:col>8</xdr:col>
          <xdr:colOff>579120</xdr:colOff>
          <xdr:row>2</xdr:row>
          <xdr:rowOff>15240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900" b="0" i="0" u="none" strike="noStrike" baseline="0">
                  <a:solidFill>
                    <a:srgbClr val="000000"/>
                  </a:solidFill>
                  <a:latin typeface="Calibri"/>
                  <a:ea typeface="Calibri"/>
                  <a:cs typeface="Calibri"/>
                </a:rPr>
                <a:t>Upload bulk Excel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57150</xdr:colOff>
      <xdr:row>0</xdr:row>
      <xdr:rowOff>52387</xdr:rowOff>
    </xdr:from>
    <xdr:to>
      <xdr:col>12</xdr:col>
      <xdr:colOff>86325</xdr:colOff>
      <xdr:row>1</xdr:row>
      <xdr:rowOff>62971</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0200-000005000000}"/>
            </a:ext>
          </a:extLst>
        </xdr:cNvPr>
        <xdr:cNvSpPr/>
      </xdr:nvSpPr>
      <xdr:spPr>
        <a:xfrm>
          <a:off x="5886450" y="52387"/>
          <a:ext cx="838800" cy="201084"/>
        </a:xfrm>
        <a:prstGeom prst="rect">
          <a:avLst/>
        </a:prstGeom>
        <a:solidFill>
          <a:schemeClr val="bg2">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solidFill>
                <a:schemeClr val="tx1"/>
              </a:solidFill>
            </a:rPr>
            <a:t>Database</a:t>
          </a:r>
        </a:p>
      </xdr:txBody>
    </xdr:sp>
    <xdr:clientData/>
  </xdr:twoCellAnchor>
  <xdr:twoCellAnchor>
    <xdr:from>
      <xdr:col>12</xdr:col>
      <xdr:colOff>209550</xdr:colOff>
      <xdr:row>0</xdr:row>
      <xdr:rowOff>52129</xdr:rowOff>
    </xdr:from>
    <xdr:to>
      <xdr:col>13</xdr:col>
      <xdr:colOff>286350</xdr:colOff>
      <xdr:row>1</xdr:row>
      <xdr:rowOff>63229</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0200-000006000000}"/>
            </a:ext>
          </a:extLst>
        </xdr:cNvPr>
        <xdr:cNvSpPr/>
      </xdr:nvSpPr>
      <xdr:spPr>
        <a:xfrm>
          <a:off x="6848475" y="52129"/>
          <a:ext cx="838800" cy="2016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IN" sz="1100" b="1">
              <a:solidFill>
                <a:sysClr val="windowText" lastClr="000000"/>
              </a:solidFill>
            </a:rPr>
            <a:t>Dashboard</a:t>
          </a:r>
        </a:p>
      </xdr:txBody>
    </xdr:sp>
    <xdr:clientData/>
  </xdr:twoCellAnchor>
  <xdr:twoCellAnchor>
    <xdr:from>
      <xdr:col>0</xdr:col>
      <xdr:colOff>80840</xdr:colOff>
      <xdr:row>23</xdr:row>
      <xdr:rowOff>18567</xdr:rowOff>
    </xdr:from>
    <xdr:to>
      <xdr:col>9</xdr:col>
      <xdr:colOff>426310</xdr:colOff>
      <xdr:row>23</xdr:row>
      <xdr:rowOff>28092</xdr:rowOff>
    </xdr:to>
    <xdr:cxnSp macro="">
      <xdr:nvCxnSpPr>
        <xdr:cNvPr id="4" name="Straight Connector 3">
          <a:extLst>
            <a:ext uri="{FF2B5EF4-FFF2-40B4-BE49-F238E27FC236}">
              <a16:creationId xmlns:a16="http://schemas.microsoft.com/office/drawing/2014/main" id="{00000000-0008-0000-0200-000004000000}"/>
            </a:ext>
          </a:extLst>
        </xdr:cNvPr>
        <xdr:cNvCxnSpPr/>
      </xdr:nvCxnSpPr>
      <xdr:spPr>
        <a:xfrm>
          <a:off x="80840" y="4583378"/>
          <a:ext cx="5557262" cy="9525"/>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11</xdr:col>
          <xdr:colOff>38100</xdr:colOff>
          <xdr:row>5</xdr:row>
          <xdr:rowOff>83820</xdr:rowOff>
        </xdr:from>
        <xdr:to>
          <xdr:col>12</xdr:col>
          <xdr:colOff>213360</xdr:colOff>
          <xdr:row>6</xdr:row>
          <xdr:rowOff>106680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0" i="0" u="none" strike="noStrike" baseline="0">
                  <a:solidFill>
                    <a:srgbClr val="000000"/>
                  </a:solidFill>
                  <a:latin typeface="Calibri"/>
                  <a:ea typeface="Calibri"/>
                  <a:cs typeface="Calibri"/>
                </a:rPr>
                <a:t>Upload bulk PDF</a:t>
              </a:r>
            </a:p>
          </xdr:txBody>
        </xdr:sp>
        <xdr:clientData fPrintsWithSheet="0"/>
      </xdr:twoCellAnchor>
    </mc:Choice>
    <mc:Fallback/>
  </mc:AlternateContent>
  <xdr:twoCellAnchor>
    <xdr:from>
      <xdr:col>1</xdr:col>
      <xdr:colOff>87702</xdr:colOff>
      <xdr:row>8</xdr:row>
      <xdr:rowOff>213790</xdr:rowOff>
    </xdr:from>
    <xdr:to>
      <xdr:col>9</xdr:col>
      <xdr:colOff>569073</xdr:colOff>
      <xdr:row>22</xdr:row>
      <xdr:rowOff>160084</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181155" y="1809677"/>
          <a:ext cx="5664409" cy="2663615"/>
          <a:chOff x="176013" y="1866472"/>
          <a:chExt cx="5609732" cy="2671327"/>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4145009" y="2085703"/>
            <a:ext cx="1327796" cy="2452096"/>
          </a:xfrm>
          <a:prstGeom prst="rect">
            <a:avLst/>
          </a:prstGeom>
          <a:ln w="3175">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76013" y="1866472"/>
            <a:ext cx="5609732" cy="2034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Overall Performance</a:t>
            </a:r>
          </a:p>
          <a:p>
            <a:endParaRPr lang="en-IN" sz="1100"/>
          </a:p>
        </xdr:txBody>
      </xdr:sp>
      <xdr:graphicFrame macro="">
        <xdr:nvGraphicFramePr>
          <xdr:cNvPr id="14" name="Chart 13">
            <a:extLst>
              <a:ext uri="{FF2B5EF4-FFF2-40B4-BE49-F238E27FC236}">
                <a16:creationId xmlns:a16="http://schemas.microsoft.com/office/drawing/2014/main" id="{00000000-0008-0000-0200-00000E000000}"/>
              </a:ext>
            </a:extLst>
          </xdr:cNvPr>
          <xdr:cNvGraphicFramePr>
            <a:graphicFrameLocks noChangeAspect="1"/>
          </xdr:cNvGraphicFramePr>
        </xdr:nvGraphicFramePr>
        <xdr:xfrm>
          <a:off x="200972" y="2106853"/>
          <a:ext cx="3424855" cy="2352797"/>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4151876" y="2091730"/>
            <a:ext cx="1298098" cy="2032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Completed</a:t>
            </a:r>
          </a:p>
        </xdr:txBody>
      </xdr:sp>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4151680" y="2693983"/>
            <a:ext cx="1298490" cy="2024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Work in progress</a:t>
            </a:r>
          </a:p>
        </xdr:txBody>
      </xdr:sp>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151680" y="3300707"/>
            <a:ext cx="1298490" cy="2024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commenced</a:t>
            </a:r>
          </a:p>
        </xdr:txBody>
      </xdr:sp>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4151680" y="3907431"/>
            <a:ext cx="1298490" cy="2024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Applicable</a:t>
            </a:r>
          </a:p>
        </xdr:txBody>
      </xdr:sp>
      <xdr:sp macro="" textlink="'Pivot6 (overall Numbers)'!F4">
        <xdr:nvSpPr>
          <xdr:cNvPr id="23" name="TextBox 22">
            <a:extLst>
              <a:ext uri="{FF2B5EF4-FFF2-40B4-BE49-F238E27FC236}">
                <a16:creationId xmlns:a16="http://schemas.microsoft.com/office/drawing/2014/main" id="{00000000-0008-0000-0200-000017000000}"/>
              </a:ext>
            </a:extLst>
          </xdr:cNvPr>
          <xdr:cNvSpPr txBox="1"/>
        </xdr:nvSpPr>
        <xdr:spPr>
          <a:xfrm>
            <a:off x="4151876" y="2322454"/>
            <a:ext cx="1298098" cy="3440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824CE9-E747-4C9E-8E3B-A414E48E1B1A}" type="TxLink">
              <a:rPr lang="en-US" sz="2800" b="0" i="0" u="none" strike="noStrike">
                <a:solidFill>
                  <a:srgbClr val="000000"/>
                </a:solidFill>
                <a:latin typeface="Calibri"/>
                <a:cs typeface="Calibri"/>
              </a:rPr>
              <a:pPr algn="ctr"/>
              <a:t>1</a:t>
            </a:fld>
            <a:endParaRPr lang="en-IN" sz="2800"/>
          </a:p>
        </xdr:txBody>
      </xdr:sp>
      <xdr:sp macro="" textlink="'Pivot6 (overall Numbers)'!F7">
        <xdr:nvSpPr>
          <xdr:cNvPr id="24" name="TextBox 23">
            <a:extLst>
              <a:ext uri="{FF2B5EF4-FFF2-40B4-BE49-F238E27FC236}">
                <a16:creationId xmlns:a16="http://schemas.microsoft.com/office/drawing/2014/main" id="{00000000-0008-0000-0200-000018000000}"/>
              </a:ext>
            </a:extLst>
          </xdr:cNvPr>
          <xdr:cNvSpPr txBox="1"/>
        </xdr:nvSpPr>
        <xdr:spPr>
          <a:xfrm>
            <a:off x="4151876" y="2929177"/>
            <a:ext cx="1298098" cy="3387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0951A4A-AC1D-4059-BADF-BF3887504CAF}" type="TxLink">
              <a:rPr lang="en-US" sz="2800" b="0" i="0" u="none" strike="noStrike">
                <a:solidFill>
                  <a:srgbClr val="000000"/>
                </a:solidFill>
                <a:latin typeface="Calibri"/>
                <a:ea typeface="+mn-ea"/>
                <a:cs typeface="Calibri"/>
              </a:rPr>
              <a:pPr marL="0" indent="0" algn="ctr"/>
              <a:t>118</a:t>
            </a:fld>
            <a:endParaRPr lang="en-IN" sz="2800" b="0" i="0" u="none" strike="noStrike">
              <a:solidFill>
                <a:srgbClr val="000000"/>
              </a:solidFill>
              <a:latin typeface="Calibri"/>
              <a:ea typeface="+mn-ea"/>
              <a:cs typeface="Calibri"/>
            </a:endParaRPr>
          </a:p>
        </xdr:txBody>
      </xdr:sp>
      <xdr:sp macro="" textlink="'Pivot6 (overall Numbers)'!F5">
        <xdr:nvSpPr>
          <xdr:cNvPr id="25" name="TextBox 24">
            <a:extLst>
              <a:ext uri="{FF2B5EF4-FFF2-40B4-BE49-F238E27FC236}">
                <a16:creationId xmlns:a16="http://schemas.microsoft.com/office/drawing/2014/main" id="{00000000-0008-0000-0200-000019000000}"/>
              </a:ext>
            </a:extLst>
          </xdr:cNvPr>
          <xdr:cNvSpPr txBox="1"/>
        </xdr:nvSpPr>
        <xdr:spPr>
          <a:xfrm>
            <a:off x="4151876" y="3535901"/>
            <a:ext cx="1298098" cy="3387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C07E1EE-FC6A-42CB-8BC0-A62087BF589F}" type="TxLink">
              <a:rPr lang="en-US" sz="2800" b="0" i="0" u="none" strike="noStrike">
                <a:solidFill>
                  <a:srgbClr val="000000"/>
                </a:solidFill>
                <a:latin typeface="Calibri"/>
                <a:ea typeface="+mn-ea"/>
                <a:cs typeface="Calibri"/>
              </a:rPr>
              <a:pPr marL="0" indent="0" algn="ctr"/>
              <a:t>2</a:t>
            </a:fld>
            <a:endParaRPr lang="en-IN" sz="2800" b="0" i="0" u="none" strike="noStrike">
              <a:solidFill>
                <a:srgbClr val="000000"/>
              </a:solidFill>
              <a:latin typeface="Calibri"/>
              <a:ea typeface="+mn-ea"/>
              <a:cs typeface="Calibri"/>
            </a:endParaRPr>
          </a:p>
        </xdr:txBody>
      </xdr:sp>
      <xdr:sp macro="" textlink="'Pivot6 (overall Numbers)'!F6">
        <xdr:nvSpPr>
          <xdr:cNvPr id="26" name="TextBox 25">
            <a:extLst>
              <a:ext uri="{FF2B5EF4-FFF2-40B4-BE49-F238E27FC236}">
                <a16:creationId xmlns:a16="http://schemas.microsoft.com/office/drawing/2014/main" id="{00000000-0008-0000-0200-00001A000000}"/>
              </a:ext>
            </a:extLst>
          </xdr:cNvPr>
          <xdr:cNvSpPr txBox="1"/>
        </xdr:nvSpPr>
        <xdr:spPr>
          <a:xfrm>
            <a:off x="4151876" y="4142626"/>
            <a:ext cx="1298098" cy="3387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635A43-C910-4F89-AA96-2B450B01C51D}" type="TxLink">
              <a:rPr lang="en-US" sz="2800" b="0" i="0" u="none" strike="noStrike">
                <a:solidFill>
                  <a:srgbClr val="000000"/>
                </a:solidFill>
                <a:latin typeface="Calibri"/>
                <a:ea typeface="+mn-ea"/>
                <a:cs typeface="Calibri"/>
              </a:rPr>
              <a:pPr marL="0" indent="0" algn="ctr"/>
              <a:t>0</a:t>
            </a:fld>
            <a:endParaRPr lang="en-IN" sz="2800" b="0" i="0" u="none" strike="noStrike">
              <a:solidFill>
                <a:srgbClr val="000000"/>
              </a:solidFill>
              <a:latin typeface="Calibri"/>
              <a:ea typeface="+mn-ea"/>
              <a:cs typeface="Calibri"/>
            </a:endParaRPr>
          </a:p>
        </xdr:txBody>
      </xdr:sp>
      <xdr:cxnSp macro="">
        <xdr:nvCxnSpPr>
          <xdr:cNvPr id="8" name="Straight Connector 7">
            <a:extLst>
              <a:ext uri="{FF2B5EF4-FFF2-40B4-BE49-F238E27FC236}">
                <a16:creationId xmlns:a16="http://schemas.microsoft.com/office/drawing/2014/main" id="{00000000-0008-0000-0200-000008000000}"/>
              </a:ext>
            </a:extLst>
          </xdr:cNvPr>
          <xdr:cNvCxnSpPr/>
        </xdr:nvCxnSpPr>
        <xdr:spPr>
          <a:xfrm>
            <a:off x="4142170" y="2683349"/>
            <a:ext cx="1333478" cy="1"/>
          </a:xfrm>
          <a:prstGeom prst="line">
            <a:avLst/>
          </a:prstGeom>
          <a:ln w="3175"/>
        </xdr:spPr>
        <xdr:style>
          <a:lnRef idx="2">
            <a:schemeClr val="dk1"/>
          </a:lnRef>
          <a:fillRef idx="0">
            <a:schemeClr val="dk1"/>
          </a:fillRef>
          <a:effectRef idx="1">
            <a:schemeClr val="dk1"/>
          </a:effectRef>
          <a:fontRef idx="minor">
            <a:schemeClr val="tx1"/>
          </a:fontRef>
        </xdr:style>
      </xdr:cxnSp>
      <xdr:cxnSp macro="">
        <xdr:nvCxnSpPr>
          <xdr:cNvPr id="34" name="Straight Connector 33">
            <a:extLst>
              <a:ext uri="{FF2B5EF4-FFF2-40B4-BE49-F238E27FC236}">
                <a16:creationId xmlns:a16="http://schemas.microsoft.com/office/drawing/2014/main" id="{00000000-0008-0000-0200-000022000000}"/>
              </a:ext>
            </a:extLst>
          </xdr:cNvPr>
          <xdr:cNvCxnSpPr/>
        </xdr:nvCxnSpPr>
        <xdr:spPr>
          <a:xfrm>
            <a:off x="4145330" y="3909726"/>
            <a:ext cx="1333478" cy="1"/>
          </a:xfrm>
          <a:prstGeom prst="line">
            <a:avLst/>
          </a:prstGeom>
          <a:ln w="3175"/>
        </xdr:spPr>
        <xdr:style>
          <a:lnRef idx="2">
            <a:schemeClr val="dk1"/>
          </a:lnRef>
          <a:fillRef idx="0">
            <a:schemeClr val="dk1"/>
          </a:fillRef>
          <a:effectRef idx="1">
            <a:schemeClr val="dk1"/>
          </a:effectRef>
          <a:fontRef idx="minor">
            <a:schemeClr val="tx1"/>
          </a:fontRef>
        </xdr:style>
      </xdr:cxnSp>
      <xdr:cxnSp macro="">
        <xdr:nvCxnSpPr>
          <xdr:cNvPr id="35" name="Straight Connector 34">
            <a:extLst>
              <a:ext uri="{FF2B5EF4-FFF2-40B4-BE49-F238E27FC236}">
                <a16:creationId xmlns:a16="http://schemas.microsoft.com/office/drawing/2014/main" id="{00000000-0008-0000-0200-000023000000}"/>
              </a:ext>
            </a:extLst>
          </xdr:cNvPr>
          <xdr:cNvCxnSpPr/>
        </xdr:nvCxnSpPr>
        <xdr:spPr>
          <a:xfrm>
            <a:off x="4144101" y="3288110"/>
            <a:ext cx="1333478" cy="1"/>
          </a:xfrm>
          <a:prstGeom prst="line">
            <a:avLst/>
          </a:prstGeom>
          <a:ln w="3175"/>
        </xdr:spPr>
        <xdr:style>
          <a:lnRef idx="2">
            <a:schemeClr val="dk1"/>
          </a:lnRef>
          <a:fillRef idx="0">
            <a:schemeClr val="dk1"/>
          </a:fillRef>
          <a:effectRef idx="1">
            <a:schemeClr val="dk1"/>
          </a:effectRef>
          <a:fontRef idx="minor">
            <a:schemeClr val="tx1"/>
          </a:fontRef>
        </xdr:style>
      </xdr:cxnSp>
    </xdr:grpSp>
    <xdr:clientData/>
  </xdr:twoCellAnchor>
  <xdr:twoCellAnchor>
    <xdr:from>
      <xdr:col>0</xdr:col>
      <xdr:colOff>22308</xdr:colOff>
      <xdr:row>22</xdr:row>
      <xdr:rowOff>174239</xdr:rowOff>
    </xdr:from>
    <xdr:to>
      <xdr:col>9</xdr:col>
      <xdr:colOff>420524</xdr:colOff>
      <xdr:row>32</xdr:row>
      <xdr:rowOff>179</xdr:rowOff>
    </xdr:to>
    <xdr:grpSp>
      <xdr:nvGrpSpPr>
        <xdr:cNvPr id="105" name="Group 104">
          <a:extLst>
            <a:ext uri="{FF2B5EF4-FFF2-40B4-BE49-F238E27FC236}">
              <a16:creationId xmlns:a16="http://schemas.microsoft.com/office/drawing/2014/main" id="{00000000-0008-0000-0200-000069000000}"/>
            </a:ext>
          </a:extLst>
        </xdr:cNvPr>
        <xdr:cNvGrpSpPr/>
      </xdr:nvGrpSpPr>
      <xdr:grpSpPr>
        <a:xfrm>
          <a:off x="22308" y="4487447"/>
          <a:ext cx="5674707" cy="1651864"/>
          <a:chOff x="22226" y="4550120"/>
          <a:chExt cx="5610008" cy="1704211"/>
        </a:xfrm>
      </xdr:grpSpPr>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22226" y="4550120"/>
            <a:ext cx="5610008" cy="2355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Status 1</a:t>
            </a:r>
          </a:p>
          <a:p>
            <a:endParaRPr lang="en-IN" sz="1200"/>
          </a:p>
        </xdr:txBody>
      </xdr:sp>
      <xdr:graphicFrame macro="">
        <xdr:nvGraphicFramePr>
          <xdr:cNvPr id="12" name="Chart 11">
            <a:hlinkClick xmlns:r="http://schemas.openxmlformats.org/officeDocument/2006/relationships" r:id="rId4" tooltip="Select only partner slicer in dashboard.(dont select any particular client)"/>
            <a:extLst>
              <a:ext uri="{FF2B5EF4-FFF2-40B4-BE49-F238E27FC236}">
                <a16:creationId xmlns:a16="http://schemas.microsoft.com/office/drawing/2014/main" id="{00000000-0008-0000-0200-00000C000000}"/>
              </a:ext>
            </a:extLst>
          </xdr:cNvPr>
          <xdr:cNvGraphicFramePr>
            <a:graphicFrameLocks/>
          </xdr:cNvGraphicFramePr>
        </xdr:nvGraphicFramePr>
        <xdr:xfrm>
          <a:off x="182414" y="4773865"/>
          <a:ext cx="3211183" cy="1480466"/>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47" name="Rectangle 46">
            <a:extLst>
              <a:ext uri="{FF2B5EF4-FFF2-40B4-BE49-F238E27FC236}">
                <a16:creationId xmlns:a16="http://schemas.microsoft.com/office/drawing/2014/main" id="{00000000-0008-0000-0200-00002F000000}"/>
              </a:ext>
            </a:extLst>
          </xdr:cNvPr>
          <xdr:cNvSpPr/>
        </xdr:nvSpPr>
        <xdr:spPr>
          <a:xfrm>
            <a:off x="4135154" y="4753798"/>
            <a:ext cx="1301259" cy="1494505"/>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sp macro="" textlink="">
        <xdr:nvSpPr>
          <xdr:cNvPr id="48" name="TextBox 47">
            <a:extLst>
              <a:ext uri="{FF2B5EF4-FFF2-40B4-BE49-F238E27FC236}">
                <a16:creationId xmlns:a16="http://schemas.microsoft.com/office/drawing/2014/main" id="{00000000-0008-0000-0200-000030000000}"/>
              </a:ext>
            </a:extLst>
          </xdr:cNvPr>
          <xdr:cNvSpPr txBox="1"/>
        </xdr:nvSpPr>
        <xdr:spPr>
          <a:xfrm>
            <a:off x="4162706" y="4768504"/>
            <a:ext cx="1244254" cy="1898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Completed</a:t>
            </a:r>
          </a:p>
        </xdr:txBody>
      </xdr:sp>
      <xdr:sp macro="" textlink="'Pivot 3(Line chart)'!P13">
        <xdr:nvSpPr>
          <xdr:cNvPr id="49" name="Rectangle 48">
            <a:extLst>
              <a:ext uri="{FF2B5EF4-FFF2-40B4-BE49-F238E27FC236}">
                <a16:creationId xmlns:a16="http://schemas.microsoft.com/office/drawing/2014/main" id="{00000000-0008-0000-0200-000031000000}"/>
              </a:ext>
            </a:extLst>
          </xdr:cNvPr>
          <xdr:cNvSpPr/>
        </xdr:nvSpPr>
        <xdr:spPr>
          <a:xfrm>
            <a:off x="4162706" y="4950668"/>
            <a:ext cx="1244254" cy="189872"/>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0BB80029-D6F3-41A9-AB0D-B9C042FC01D0}" type="TxLink">
              <a:rPr lang="en-US" sz="1200" b="1" i="0" u="none" strike="noStrike">
                <a:solidFill>
                  <a:srgbClr val="000000"/>
                </a:solidFill>
                <a:latin typeface="Calibri"/>
                <a:cs typeface="Calibri"/>
              </a:rPr>
              <a:pPr algn="ctr"/>
              <a:t>26</a:t>
            </a:fld>
            <a:endParaRPr lang="en-IN" sz="1200" b="1"/>
          </a:p>
        </xdr:txBody>
      </xdr:sp>
      <xdr:sp macro="" textlink="">
        <xdr:nvSpPr>
          <xdr:cNvPr id="50" name="TextBox 49">
            <a:extLst>
              <a:ext uri="{FF2B5EF4-FFF2-40B4-BE49-F238E27FC236}">
                <a16:creationId xmlns:a16="http://schemas.microsoft.com/office/drawing/2014/main" id="{00000000-0008-0000-0200-000032000000}"/>
              </a:ext>
            </a:extLst>
          </xdr:cNvPr>
          <xdr:cNvSpPr txBox="1"/>
        </xdr:nvSpPr>
        <xdr:spPr>
          <a:xfrm>
            <a:off x="4162519" y="5132832"/>
            <a:ext cx="1244628" cy="1890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Work in progress</a:t>
            </a:r>
          </a:p>
        </xdr:txBody>
      </xdr:sp>
      <xdr:sp macro="" textlink="'Pivot 3(Line chart)'!P16">
        <xdr:nvSpPr>
          <xdr:cNvPr id="51" name="Rectangle 50">
            <a:extLst>
              <a:ext uri="{FF2B5EF4-FFF2-40B4-BE49-F238E27FC236}">
                <a16:creationId xmlns:a16="http://schemas.microsoft.com/office/drawing/2014/main" id="{00000000-0008-0000-0200-000033000000}"/>
              </a:ext>
            </a:extLst>
          </xdr:cNvPr>
          <xdr:cNvSpPr/>
        </xdr:nvSpPr>
        <xdr:spPr>
          <a:xfrm>
            <a:off x="4162706" y="5314189"/>
            <a:ext cx="1244254" cy="189872"/>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3466B38F-A570-41BE-8F11-7AFF9736F3AD}" type="TxLink">
              <a:rPr lang="en-US" sz="1200" b="1" i="0" u="none" strike="noStrike">
                <a:solidFill>
                  <a:srgbClr val="000000"/>
                </a:solidFill>
                <a:latin typeface="Calibri"/>
                <a:cs typeface="Calibri"/>
              </a:rPr>
              <a:pPr algn="ctr"/>
              <a:t>69</a:t>
            </a:fld>
            <a:endParaRPr lang="en-IN" sz="1200" b="1"/>
          </a:p>
        </xdr:txBody>
      </xdr:sp>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4162519" y="5496353"/>
            <a:ext cx="1244628" cy="1890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commenced</a:t>
            </a:r>
          </a:p>
        </xdr:txBody>
      </xdr:sp>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4162519" y="5859873"/>
            <a:ext cx="1244628" cy="1890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Applicable</a:t>
            </a:r>
          </a:p>
        </xdr:txBody>
      </xdr:sp>
      <xdr:sp macro="" textlink="'Pivot 3(Line chart)'!P14">
        <xdr:nvSpPr>
          <xdr:cNvPr id="54" name="Rectangle 53">
            <a:extLst>
              <a:ext uri="{FF2B5EF4-FFF2-40B4-BE49-F238E27FC236}">
                <a16:creationId xmlns:a16="http://schemas.microsoft.com/office/drawing/2014/main" id="{00000000-0008-0000-0200-000036000000}"/>
              </a:ext>
            </a:extLst>
          </xdr:cNvPr>
          <xdr:cNvSpPr/>
        </xdr:nvSpPr>
        <xdr:spPr>
          <a:xfrm>
            <a:off x="4162706" y="5677709"/>
            <a:ext cx="1244254" cy="189872"/>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13B7AF0F-8098-4C1F-818E-B55C54199BCF}" type="TxLink">
              <a:rPr lang="en-US" sz="1200" b="1" i="0" u="none" strike="noStrike">
                <a:solidFill>
                  <a:srgbClr val="000000"/>
                </a:solidFill>
                <a:latin typeface="Calibri"/>
                <a:cs typeface="Calibri"/>
              </a:rPr>
              <a:pPr algn="ctr"/>
              <a:t>11</a:t>
            </a:fld>
            <a:endParaRPr lang="en-IN" sz="1200" b="1"/>
          </a:p>
        </xdr:txBody>
      </xdr:sp>
      <xdr:sp macro="" textlink="'Pivot 3(Line chart)'!P15">
        <xdr:nvSpPr>
          <xdr:cNvPr id="55" name="Rectangle 54">
            <a:extLst>
              <a:ext uri="{FF2B5EF4-FFF2-40B4-BE49-F238E27FC236}">
                <a16:creationId xmlns:a16="http://schemas.microsoft.com/office/drawing/2014/main" id="{00000000-0008-0000-0200-000037000000}"/>
              </a:ext>
            </a:extLst>
          </xdr:cNvPr>
          <xdr:cNvSpPr/>
        </xdr:nvSpPr>
        <xdr:spPr>
          <a:xfrm>
            <a:off x="4162706" y="6041233"/>
            <a:ext cx="1244254" cy="189872"/>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59373982-0DEA-4307-BE02-3C64E98277A6}" type="TxLink">
              <a:rPr lang="en-US" sz="1200" b="1" i="0" u="none" strike="noStrike">
                <a:solidFill>
                  <a:srgbClr val="000000"/>
                </a:solidFill>
                <a:latin typeface="Calibri"/>
                <a:cs typeface="Calibri"/>
              </a:rPr>
              <a:pPr algn="ctr"/>
              <a:t>15</a:t>
            </a:fld>
            <a:endParaRPr lang="en-IN" sz="1200" b="1"/>
          </a:p>
        </xdr:txBody>
      </xdr:sp>
      <xdr:cxnSp macro="">
        <xdr:nvCxnSpPr>
          <xdr:cNvPr id="56" name="Straight Connector 55">
            <a:extLst>
              <a:ext uri="{FF2B5EF4-FFF2-40B4-BE49-F238E27FC236}">
                <a16:creationId xmlns:a16="http://schemas.microsoft.com/office/drawing/2014/main" id="{00000000-0008-0000-0200-000038000000}"/>
              </a:ext>
            </a:extLst>
          </xdr:cNvPr>
          <xdr:cNvCxnSpPr/>
        </xdr:nvCxnSpPr>
        <xdr:spPr>
          <a:xfrm>
            <a:off x="4140217" y="5120120"/>
            <a:ext cx="1298362" cy="332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7" name="Straight Connector 56">
            <a:extLst>
              <a:ext uri="{FF2B5EF4-FFF2-40B4-BE49-F238E27FC236}">
                <a16:creationId xmlns:a16="http://schemas.microsoft.com/office/drawing/2014/main" id="{00000000-0008-0000-0200-000039000000}"/>
              </a:ext>
            </a:extLst>
          </xdr:cNvPr>
          <xdr:cNvCxnSpPr/>
        </xdr:nvCxnSpPr>
        <xdr:spPr>
          <a:xfrm>
            <a:off x="4133348" y="5862340"/>
            <a:ext cx="1298362" cy="332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8" name="Straight Connector 57">
            <a:extLst>
              <a:ext uri="{FF2B5EF4-FFF2-40B4-BE49-F238E27FC236}">
                <a16:creationId xmlns:a16="http://schemas.microsoft.com/office/drawing/2014/main" id="{00000000-0008-0000-0200-00003A000000}"/>
              </a:ext>
            </a:extLst>
          </xdr:cNvPr>
          <xdr:cNvCxnSpPr/>
        </xdr:nvCxnSpPr>
        <xdr:spPr>
          <a:xfrm>
            <a:off x="4136992" y="5497111"/>
            <a:ext cx="1298362" cy="3320"/>
          </a:xfrm>
          <a:prstGeom prst="line">
            <a:avLst/>
          </a:prstGeom>
        </xdr:spPr>
        <xdr:style>
          <a:lnRef idx="1">
            <a:schemeClr val="dk1"/>
          </a:lnRef>
          <a:fillRef idx="0">
            <a:schemeClr val="dk1"/>
          </a:fillRef>
          <a:effectRef idx="0">
            <a:schemeClr val="dk1"/>
          </a:effectRef>
          <a:fontRef idx="minor">
            <a:schemeClr val="tx1"/>
          </a:fontRef>
        </xdr:style>
      </xdr:cxnSp>
      <xdr:sp macro="" textlink="AB26">
        <xdr:nvSpPr>
          <xdr:cNvPr id="38" name="Rectangle 37">
            <a:extLst>
              <a:ext uri="{FF2B5EF4-FFF2-40B4-BE49-F238E27FC236}">
                <a16:creationId xmlns:a16="http://schemas.microsoft.com/office/drawing/2014/main" id="{00000000-0008-0000-0200-000026000000}"/>
              </a:ext>
            </a:extLst>
          </xdr:cNvPr>
          <xdr:cNvSpPr/>
        </xdr:nvSpPr>
        <xdr:spPr>
          <a:xfrm>
            <a:off x="2931116" y="5206885"/>
            <a:ext cx="434948" cy="300713"/>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32529ED-DD63-4EB3-B9BF-AFB1DEDD2285}" type="TxLink">
              <a:rPr lang="en-US" sz="1100" b="1" i="0" u="none" strike="noStrike">
                <a:solidFill>
                  <a:srgbClr val="000000"/>
                </a:solidFill>
                <a:latin typeface="Calibri"/>
                <a:ea typeface="+mn-ea"/>
                <a:cs typeface="Calibri"/>
              </a:rPr>
              <a:pPr marL="0" indent="0" algn="ctr"/>
              <a:t>57%</a:t>
            </a:fld>
            <a:endParaRPr lang="en-US" sz="1000" b="1" i="0" u="none" strike="noStrike">
              <a:solidFill>
                <a:srgbClr val="000000"/>
              </a:solidFill>
              <a:latin typeface="Calibri"/>
              <a:ea typeface="+mn-ea"/>
              <a:cs typeface="Calibri"/>
            </a:endParaRPr>
          </a:p>
        </xdr:txBody>
      </xdr:sp>
      <xdr:sp macro="" textlink="AB28">
        <xdr:nvSpPr>
          <xdr:cNvPr id="39" name="Rectangle 38">
            <a:extLst>
              <a:ext uri="{FF2B5EF4-FFF2-40B4-BE49-F238E27FC236}">
                <a16:creationId xmlns:a16="http://schemas.microsoft.com/office/drawing/2014/main" id="{00000000-0008-0000-0200-000027000000}"/>
              </a:ext>
            </a:extLst>
          </xdr:cNvPr>
          <xdr:cNvSpPr/>
        </xdr:nvSpPr>
        <xdr:spPr>
          <a:xfrm>
            <a:off x="2930941" y="5867802"/>
            <a:ext cx="435299" cy="300387"/>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7CC9A698-0FD8-4FE4-A226-EF694211100A}" type="TxLink">
              <a:rPr lang="en-US" sz="1100" b="1" i="0" u="none" strike="noStrike">
                <a:solidFill>
                  <a:srgbClr val="000000"/>
                </a:solidFill>
                <a:latin typeface="Calibri"/>
                <a:ea typeface="+mn-ea"/>
                <a:cs typeface="Calibri"/>
              </a:rPr>
              <a:pPr marL="0" indent="0" algn="ctr"/>
              <a:t>12%</a:t>
            </a:fld>
            <a:endParaRPr lang="en-US" sz="1100" b="1" i="0" u="none" strike="noStrike">
              <a:solidFill>
                <a:srgbClr val="000000"/>
              </a:solidFill>
              <a:latin typeface="Calibri"/>
              <a:ea typeface="+mn-ea"/>
              <a:cs typeface="Calibri"/>
            </a:endParaRPr>
          </a:p>
        </xdr:txBody>
      </xdr:sp>
      <xdr:sp macro="" textlink="AB27">
        <xdr:nvSpPr>
          <xdr:cNvPr id="40" name="Rectangle 39">
            <a:extLst>
              <a:ext uri="{FF2B5EF4-FFF2-40B4-BE49-F238E27FC236}">
                <a16:creationId xmlns:a16="http://schemas.microsoft.com/office/drawing/2014/main" id="{00000000-0008-0000-0200-000028000000}"/>
              </a:ext>
            </a:extLst>
          </xdr:cNvPr>
          <xdr:cNvSpPr/>
        </xdr:nvSpPr>
        <xdr:spPr>
          <a:xfrm>
            <a:off x="2930941" y="5537221"/>
            <a:ext cx="435299" cy="300673"/>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B462528D-A893-42A8-8349-3B50D737B6A8}" type="TxLink">
              <a:rPr lang="en-US" sz="1100" b="1" i="0" u="none" strike="noStrike">
                <a:solidFill>
                  <a:srgbClr val="000000"/>
                </a:solidFill>
                <a:latin typeface="Calibri"/>
                <a:ea typeface="+mn-ea"/>
                <a:cs typeface="Calibri"/>
              </a:rPr>
              <a:pPr marL="0" indent="0" algn="ctr"/>
              <a:t>9%</a:t>
            </a:fld>
            <a:endParaRPr lang="en-US" sz="1100" b="1" i="0" u="none" strike="noStrike">
              <a:solidFill>
                <a:srgbClr val="000000"/>
              </a:solidFill>
              <a:latin typeface="Calibri"/>
              <a:ea typeface="+mn-ea"/>
              <a:cs typeface="Calibri"/>
            </a:endParaRPr>
          </a:p>
        </xdr:txBody>
      </xdr:sp>
      <xdr:sp macro="" textlink="AB25">
        <xdr:nvSpPr>
          <xdr:cNvPr id="41" name="Rectangle 40">
            <a:extLst>
              <a:ext uri="{FF2B5EF4-FFF2-40B4-BE49-F238E27FC236}">
                <a16:creationId xmlns:a16="http://schemas.microsoft.com/office/drawing/2014/main" id="{00000000-0008-0000-0200-000029000000}"/>
              </a:ext>
            </a:extLst>
          </xdr:cNvPr>
          <xdr:cNvSpPr/>
        </xdr:nvSpPr>
        <xdr:spPr>
          <a:xfrm>
            <a:off x="2930941" y="4876589"/>
            <a:ext cx="435299" cy="300387"/>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5B299CAB-D272-4C64-AD6B-9CED7B45F677}" type="TxLink">
              <a:rPr lang="en-US" sz="1100" b="1" i="0" u="none" strike="noStrike">
                <a:solidFill>
                  <a:srgbClr val="000000"/>
                </a:solidFill>
                <a:latin typeface="Calibri"/>
                <a:ea typeface="+mn-ea"/>
                <a:cs typeface="Calibri"/>
              </a:rPr>
              <a:pPr marL="0" indent="0" algn="ctr"/>
              <a:t>21%</a:t>
            </a:fld>
            <a:endParaRPr lang="en-US" sz="1000" b="1" i="0" u="none" strike="noStrike">
              <a:solidFill>
                <a:srgbClr val="000000"/>
              </a:solidFill>
              <a:latin typeface="Calibri"/>
              <a:ea typeface="+mn-ea"/>
              <a:cs typeface="Calibri"/>
            </a:endParaRPr>
          </a:p>
        </xdr:txBody>
      </xdr:sp>
    </xdr:grpSp>
    <xdr:clientData/>
  </xdr:twoCellAnchor>
  <xdr:twoCellAnchor>
    <xdr:from>
      <xdr:col>1</xdr:col>
      <xdr:colOff>57010</xdr:colOff>
      <xdr:row>32</xdr:row>
      <xdr:rowOff>37797</xdr:rowOff>
    </xdr:from>
    <xdr:to>
      <xdr:col>9</xdr:col>
      <xdr:colOff>550616</xdr:colOff>
      <xdr:row>40</xdr:row>
      <xdr:rowOff>158752</xdr:rowOff>
    </xdr:to>
    <xdr:grpSp>
      <xdr:nvGrpSpPr>
        <xdr:cNvPr id="98" name="Group 97">
          <a:extLst>
            <a:ext uri="{FF2B5EF4-FFF2-40B4-BE49-F238E27FC236}">
              <a16:creationId xmlns:a16="http://schemas.microsoft.com/office/drawing/2014/main" id="{00000000-0008-0000-0200-000062000000}"/>
            </a:ext>
          </a:extLst>
        </xdr:cNvPr>
        <xdr:cNvGrpSpPr/>
      </xdr:nvGrpSpPr>
      <xdr:grpSpPr>
        <a:xfrm>
          <a:off x="150463" y="6176929"/>
          <a:ext cx="5676644" cy="1573068"/>
          <a:chOff x="146868" y="6300934"/>
          <a:chExt cx="5615540" cy="1630577"/>
        </a:xfrm>
      </xdr:grpSpPr>
      <xdr:graphicFrame macro="">
        <xdr:nvGraphicFramePr>
          <xdr:cNvPr id="9" name="Chart 8">
            <a:hlinkClick xmlns:r="http://schemas.openxmlformats.org/officeDocument/2006/relationships" r:id="rId6" tooltip="Select only partner slicer in dashboard.(dont select any particular client)"/>
            <a:extLst>
              <a:ext uri="{FF2B5EF4-FFF2-40B4-BE49-F238E27FC236}">
                <a16:creationId xmlns:a16="http://schemas.microsoft.com/office/drawing/2014/main" id="{00000000-0008-0000-0200-000009000000}"/>
              </a:ext>
            </a:extLst>
          </xdr:cNvPr>
          <xdr:cNvGraphicFramePr>
            <a:graphicFrameLocks/>
          </xdr:cNvGraphicFramePr>
        </xdr:nvGraphicFramePr>
        <xdr:xfrm>
          <a:off x="146868" y="6441548"/>
          <a:ext cx="3211200" cy="14796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59" name="TextBox 58">
            <a:extLst>
              <a:ext uri="{FF2B5EF4-FFF2-40B4-BE49-F238E27FC236}">
                <a16:creationId xmlns:a16="http://schemas.microsoft.com/office/drawing/2014/main" id="{00000000-0008-0000-0200-00003B000000}"/>
              </a:ext>
            </a:extLst>
          </xdr:cNvPr>
          <xdr:cNvSpPr txBox="1"/>
        </xdr:nvSpPr>
        <xdr:spPr>
          <a:xfrm>
            <a:off x="159103" y="6300934"/>
            <a:ext cx="5603305" cy="1321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b="1">
                <a:solidFill>
                  <a:schemeClr val="dk1"/>
                </a:solidFill>
                <a:effectLst/>
                <a:latin typeface="+mn-lt"/>
                <a:ea typeface="+mn-ea"/>
                <a:cs typeface="+mn-cs"/>
              </a:rPr>
              <a:t>Status 2</a:t>
            </a:r>
            <a:endParaRPr lang="en-IN" sz="1200" b="1"/>
          </a:p>
          <a:p>
            <a:endParaRPr lang="en-IN" sz="1200"/>
          </a:p>
        </xdr:txBody>
      </xdr:sp>
      <xdr:sp macro="" textlink="AB34">
        <xdr:nvSpPr>
          <xdr:cNvPr id="60" name="Rectangle 59">
            <a:extLst>
              <a:ext uri="{FF2B5EF4-FFF2-40B4-BE49-F238E27FC236}">
                <a16:creationId xmlns:a16="http://schemas.microsoft.com/office/drawing/2014/main" id="{00000000-0008-0000-0200-00003C000000}"/>
              </a:ext>
            </a:extLst>
          </xdr:cNvPr>
          <xdr:cNvSpPr/>
        </xdr:nvSpPr>
        <xdr:spPr>
          <a:xfrm>
            <a:off x="2903888" y="6933326"/>
            <a:ext cx="434948" cy="300428"/>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3E2A1DEB-28F5-4B08-A68E-C209849E0020}" type="TxLink">
              <a:rPr lang="en-US" sz="1100" b="1" i="0" u="none" strike="noStrike">
                <a:solidFill>
                  <a:srgbClr val="000000"/>
                </a:solidFill>
                <a:latin typeface="Calibri"/>
                <a:ea typeface="+mn-ea"/>
                <a:cs typeface="Calibri"/>
              </a:rPr>
              <a:pPr marL="0" indent="0" algn="ctr"/>
              <a:t>64%</a:t>
            </a:fld>
            <a:endParaRPr lang="en-US" sz="1000" b="1" i="0" u="none" strike="noStrike">
              <a:solidFill>
                <a:srgbClr val="000000"/>
              </a:solidFill>
              <a:latin typeface="Calibri"/>
              <a:ea typeface="+mn-ea"/>
              <a:cs typeface="Calibri"/>
            </a:endParaRPr>
          </a:p>
        </xdr:txBody>
      </xdr:sp>
      <xdr:sp macro="" textlink="AB36">
        <xdr:nvSpPr>
          <xdr:cNvPr id="61" name="Rectangle 60">
            <a:extLst>
              <a:ext uri="{FF2B5EF4-FFF2-40B4-BE49-F238E27FC236}">
                <a16:creationId xmlns:a16="http://schemas.microsoft.com/office/drawing/2014/main" id="{00000000-0008-0000-0200-00003D000000}"/>
              </a:ext>
            </a:extLst>
          </xdr:cNvPr>
          <xdr:cNvSpPr/>
        </xdr:nvSpPr>
        <xdr:spPr>
          <a:xfrm>
            <a:off x="2903713" y="7593959"/>
            <a:ext cx="435299" cy="300672"/>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DEDFA025-F96E-4A80-8B81-2516F7D63C72}" type="TxLink">
              <a:rPr lang="en-US" sz="1100" b="1" i="0" u="none" strike="noStrike">
                <a:solidFill>
                  <a:srgbClr val="000000"/>
                </a:solidFill>
                <a:latin typeface="Calibri"/>
                <a:ea typeface="+mn-ea"/>
                <a:cs typeface="Calibri"/>
              </a:rPr>
              <a:pPr marL="0" indent="0" algn="ctr"/>
              <a:t>14%</a:t>
            </a:fld>
            <a:endParaRPr lang="en-US" sz="1100" b="1" i="0" u="none" strike="noStrike">
              <a:solidFill>
                <a:srgbClr val="000000"/>
              </a:solidFill>
              <a:latin typeface="Calibri"/>
              <a:ea typeface="+mn-ea"/>
              <a:cs typeface="Calibri"/>
            </a:endParaRPr>
          </a:p>
        </xdr:txBody>
      </xdr:sp>
      <xdr:sp macro="" textlink="AB35">
        <xdr:nvSpPr>
          <xdr:cNvPr id="62" name="Rectangle 61">
            <a:extLst>
              <a:ext uri="{FF2B5EF4-FFF2-40B4-BE49-F238E27FC236}">
                <a16:creationId xmlns:a16="http://schemas.microsoft.com/office/drawing/2014/main" id="{00000000-0008-0000-0200-00003E000000}"/>
              </a:ext>
            </a:extLst>
          </xdr:cNvPr>
          <xdr:cNvSpPr/>
        </xdr:nvSpPr>
        <xdr:spPr>
          <a:xfrm>
            <a:off x="2903713" y="7263663"/>
            <a:ext cx="435299" cy="300673"/>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2726DB27-DFCC-4ED7-9D72-F3728632A748}" type="TxLink">
              <a:rPr lang="en-US" sz="1100" b="1" i="0" u="none" strike="noStrike">
                <a:solidFill>
                  <a:srgbClr val="000000"/>
                </a:solidFill>
                <a:latin typeface="Calibri"/>
                <a:ea typeface="+mn-ea"/>
                <a:cs typeface="Calibri"/>
              </a:rPr>
              <a:pPr marL="0" indent="0" algn="ctr"/>
              <a:t>9%</a:t>
            </a:fld>
            <a:endParaRPr lang="en-US" sz="1100" b="1" i="0" u="none" strike="noStrike">
              <a:solidFill>
                <a:srgbClr val="000000"/>
              </a:solidFill>
              <a:latin typeface="Calibri"/>
              <a:ea typeface="+mn-ea"/>
              <a:cs typeface="Calibri"/>
            </a:endParaRPr>
          </a:p>
        </xdr:txBody>
      </xdr:sp>
      <xdr:sp macro="" textlink="AB33">
        <xdr:nvSpPr>
          <xdr:cNvPr id="63" name="Rectangle 62">
            <a:extLst>
              <a:ext uri="{FF2B5EF4-FFF2-40B4-BE49-F238E27FC236}">
                <a16:creationId xmlns:a16="http://schemas.microsoft.com/office/drawing/2014/main" id="{00000000-0008-0000-0200-00003F000000}"/>
              </a:ext>
            </a:extLst>
          </xdr:cNvPr>
          <xdr:cNvSpPr/>
        </xdr:nvSpPr>
        <xdr:spPr>
          <a:xfrm>
            <a:off x="2903713" y="6603031"/>
            <a:ext cx="435299" cy="300386"/>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9186A619-3BC3-4E35-BA44-190DDF214F9D}" type="TxLink">
              <a:rPr lang="en-US" sz="1100" b="1" i="0" u="none" strike="noStrike">
                <a:solidFill>
                  <a:srgbClr val="000000"/>
                </a:solidFill>
                <a:latin typeface="Calibri"/>
                <a:ea typeface="+mn-ea"/>
                <a:cs typeface="Calibri"/>
              </a:rPr>
              <a:pPr marL="0" indent="0" algn="ctr"/>
              <a:t>13%</a:t>
            </a:fld>
            <a:endParaRPr lang="en-US" sz="1000" b="1" i="0" u="none" strike="noStrike">
              <a:solidFill>
                <a:srgbClr val="000000"/>
              </a:solidFill>
              <a:latin typeface="Calibri"/>
              <a:ea typeface="+mn-ea"/>
              <a:cs typeface="Calibri"/>
            </a:endParaRPr>
          </a:p>
        </xdr:txBody>
      </xdr:sp>
      <xdr:sp macro="" textlink="">
        <xdr:nvSpPr>
          <xdr:cNvPr id="65" name="Rectangle 64">
            <a:extLst>
              <a:ext uri="{FF2B5EF4-FFF2-40B4-BE49-F238E27FC236}">
                <a16:creationId xmlns:a16="http://schemas.microsoft.com/office/drawing/2014/main" id="{00000000-0008-0000-0200-000041000000}"/>
              </a:ext>
            </a:extLst>
          </xdr:cNvPr>
          <xdr:cNvSpPr/>
        </xdr:nvSpPr>
        <xdr:spPr>
          <a:xfrm>
            <a:off x="4120035" y="6437006"/>
            <a:ext cx="1301259" cy="1494505"/>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sp macro="" textlink="">
        <xdr:nvSpPr>
          <xdr:cNvPr id="66" name="TextBox 65">
            <a:extLst>
              <a:ext uri="{FF2B5EF4-FFF2-40B4-BE49-F238E27FC236}">
                <a16:creationId xmlns:a16="http://schemas.microsoft.com/office/drawing/2014/main" id="{00000000-0008-0000-0200-000042000000}"/>
              </a:ext>
            </a:extLst>
          </xdr:cNvPr>
          <xdr:cNvSpPr txBox="1"/>
        </xdr:nvSpPr>
        <xdr:spPr>
          <a:xfrm>
            <a:off x="4147587" y="6451712"/>
            <a:ext cx="1244254" cy="1898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Completed</a:t>
            </a:r>
          </a:p>
        </xdr:txBody>
      </xdr:sp>
      <xdr:sp macro="" textlink="'Pivot 3(Line chart)'!Q13">
        <xdr:nvSpPr>
          <xdr:cNvPr id="67" name="Rectangle 66">
            <a:extLst>
              <a:ext uri="{FF2B5EF4-FFF2-40B4-BE49-F238E27FC236}">
                <a16:creationId xmlns:a16="http://schemas.microsoft.com/office/drawing/2014/main" id="{00000000-0008-0000-0200-000043000000}"/>
              </a:ext>
            </a:extLst>
          </xdr:cNvPr>
          <xdr:cNvSpPr/>
        </xdr:nvSpPr>
        <xdr:spPr>
          <a:xfrm>
            <a:off x="4147587" y="6633876"/>
            <a:ext cx="1244254" cy="189872"/>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F0A4AAB7-B9EA-42B8-907C-91D49CCC5AE6}" type="TxLink">
              <a:rPr lang="en-US" sz="1200" b="1" i="0" u="none" strike="noStrike">
                <a:solidFill>
                  <a:srgbClr val="000000"/>
                </a:solidFill>
                <a:latin typeface="Calibri"/>
                <a:cs typeface="Calibri"/>
              </a:rPr>
              <a:pPr algn="ctr"/>
              <a:t>16</a:t>
            </a:fld>
            <a:endParaRPr lang="en-IN" sz="1200" b="1"/>
          </a:p>
        </xdr:txBody>
      </xdr:sp>
      <xdr:sp macro="" textlink="">
        <xdr:nvSpPr>
          <xdr:cNvPr id="68" name="TextBox 67">
            <a:extLst>
              <a:ext uri="{FF2B5EF4-FFF2-40B4-BE49-F238E27FC236}">
                <a16:creationId xmlns:a16="http://schemas.microsoft.com/office/drawing/2014/main" id="{00000000-0008-0000-0200-000044000000}"/>
              </a:ext>
            </a:extLst>
          </xdr:cNvPr>
          <xdr:cNvSpPr txBox="1"/>
        </xdr:nvSpPr>
        <xdr:spPr>
          <a:xfrm>
            <a:off x="4147400" y="6816040"/>
            <a:ext cx="1244628" cy="1890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Work in progress</a:t>
            </a:r>
          </a:p>
        </xdr:txBody>
      </xdr:sp>
      <xdr:sp macro="" textlink="'Pivot 3(Line chart)'!Q16">
        <xdr:nvSpPr>
          <xdr:cNvPr id="69" name="Rectangle 68">
            <a:extLst>
              <a:ext uri="{FF2B5EF4-FFF2-40B4-BE49-F238E27FC236}">
                <a16:creationId xmlns:a16="http://schemas.microsoft.com/office/drawing/2014/main" id="{00000000-0008-0000-0200-000045000000}"/>
              </a:ext>
            </a:extLst>
          </xdr:cNvPr>
          <xdr:cNvSpPr/>
        </xdr:nvSpPr>
        <xdr:spPr>
          <a:xfrm>
            <a:off x="4147587" y="6997397"/>
            <a:ext cx="1244254" cy="189872"/>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767972C4-2E1B-4683-9364-CA901FFF8D9E}" type="TxLink">
              <a:rPr lang="en-US" sz="1200" b="1" i="0" u="none" strike="noStrike">
                <a:solidFill>
                  <a:srgbClr val="000000"/>
                </a:solidFill>
                <a:latin typeface="Calibri"/>
                <a:cs typeface="Calibri"/>
              </a:rPr>
              <a:pPr algn="ctr"/>
              <a:t>77</a:t>
            </a:fld>
            <a:endParaRPr lang="en-IN" sz="1200" b="1"/>
          </a:p>
        </xdr:txBody>
      </xdr:sp>
      <xdr:sp macro="" textlink="">
        <xdr:nvSpPr>
          <xdr:cNvPr id="70" name="TextBox 69">
            <a:extLst>
              <a:ext uri="{FF2B5EF4-FFF2-40B4-BE49-F238E27FC236}">
                <a16:creationId xmlns:a16="http://schemas.microsoft.com/office/drawing/2014/main" id="{00000000-0008-0000-0200-000046000000}"/>
              </a:ext>
            </a:extLst>
          </xdr:cNvPr>
          <xdr:cNvSpPr txBox="1"/>
        </xdr:nvSpPr>
        <xdr:spPr>
          <a:xfrm>
            <a:off x="4147400" y="7179561"/>
            <a:ext cx="1244628" cy="1890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commenced</a:t>
            </a:r>
          </a:p>
        </xdr:txBody>
      </xdr:sp>
      <xdr:sp macro="" textlink="">
        <xdr:nvSpPr>
          <xdr:cNvPr id="71" name="TextBox 70">
            <a:extLst>
              <a:ext uri="{FF2B5EF4-FFF2-40B4-BE49-F238E27FC236}">
                <a16:creationId xmlns:a16="http://schemas.microsoft.com/office/drawing/2014/main" id="{00000000-0008-0000-0200-000047000000}"/>
              </a:ext>
            </a:extLst>
          </xdr:cNvPr>
          <xdr:cNvSpPr txBox="1"/>
        </xdr:nvSpPr>
        <xdr:spPr>
          <a:xfrm>
            <a:off x="4147400" y="7543081"/>
            <a:ext cx="1244628" cy="1890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Applicable</a:t>
            </a:r>
          </a:p>
        </xdr:txBody>
      </xdr:sp>
      <xdr:sp macro="" textlink="'Pivot 3(Line chart)'!Q14">
        <xdr:nvSpPr>
          <xdr:cNvPr id="72" name="Rectangle 71">
            <a:extLst>
              <a:ext uri="{FF2B5EF4-FFF2-40B4-BE49-F238E27FC236}">
                <a16:creationId xmlns:a16="http://schemas.microsoft.com/office/drawing/2014/main" id="{00000000-0008-0000-0200-000048000000}"/>
              </a:ext>
            </a:extLst>
          </xdr:cNvPr>
          <xdr:cNvSpPr/>
        </xdr:nvSpPr>
        <xdr:spPr>
          <a:xfrm>
            <a:off x="4147587" y="7360917"/>
            <a:ext cx="1244254" cy="189872"/>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DACEC198-7F5E-40C9-A32A-A7CFA8229CCD}" type="TxLink">
              <a:rPr lang="en-US" sz="1200" b="1" i="0" u="none" strike="noStrike">
                <a:solidFill>
                  <a:srgbClr val="000000"/>
                </a:solidFill>
                <a:latin typeface="Calibri"/>
                <a:cs typeface="Calibri"/>
              </a:rPr>
              <a:pPr algn="ctr"/>
              <a:t>11</a:t>
            </a:fld>
            <a:endParaRPr lang="en-IN" sz="1200" b="1"/>
          </a:p>
        </xdr:txBody>
      </xdr:sp>
      <xdr:sp macro="" textlink="'Pivot 3(Line chart)'!Q15">
        <xdr:nvSpPr>
          <xdr:cNvPr id="73" name="Rectangle 72">
            <a:extLst>
              <a:ext uri="{FF2B5EF4-FFF2-40B4-BE49-F238E27FC236}">
                <a16:creationId xmlns:a16="http://schemas.microsoft.com/office/drawing/2014/main" id="{00000000-0008-0000-0200-000049000000}"/>
              </a:ext>
            </a:extLst>
          </xdr:cNvPr>
          <xdr:cNvSpPr/>
        </xdr:nvSpPr>
        <xdr:spPr>
          <a:xfrm>
            <a:off x="4147587" y="7724441"/>
            <a:ext cx="1244254" cy="189872"/>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EB2D0ED4-DF5E-46CC-8E1D-BDF6F84B7A4A}" type="TxLink">
              <a:rPr lang="en-US" sz="1200" b="1" i="0" u="none" strike="noStrike">
                <a:solidFill>
                  <a:srgbClr val="000000"/>
                </a:solidFill>
                <a:latin typeface="Calibri"/>
                <a:cs typeface="Calibri"/>
              </a:rPr>
              <a:pPr algn="ctr"/>
              <a:t>17</a:t>
            </a:fld>
            <a:endParaRPr lang="en-IN" sz="1200" b="1"/>
          </a:p>
        </xdr:txBody>
      </xdr:sp>
      <xdr:cxnSp macro="">
        <xdr:nvCxnSpPr>
          <xdr:cNvPr id="74" name="Straight Connector 73">
            <a:extLst>
              <a:ext uri="{FF2B5EF4-FFF2-40B4-BE49-F238E27FC236}">
                <a16:creationId xmlns:a16="http://schemas.microsoft.com/office/drawing/2014/main" id="{00000000-0008-0000-0200-00004A000000}"/>
              </a:ext>
            </a:extLst>
          </xdr:cNvPr>
          <xdr:cNvCxnSpPr/>
        </xdr:nvCxnSpPr>
        <xdr:spPr>
          <a:xfrm>
            <a:off x="4125098" y="6803328"/>
            <a:ext cx="1298362" cy="332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75" name="Straight Connector 74">
            <a:extLst>
              <a:ext uri="{FF2B5EF4-FFF2-40B4-BE49-F238E27FC236}">
                <a16:creationId xmlns:a16="http://schemas.microsoft.com/office/drawing/2014/main" id="{00000000-0008-0000-0200-00004B000000}"/>
              </a:ext>
            </a:extLst>
          </xdr:cNvPr>
          <xdr:cNvCxnSpPr/>
        </xdr:nvCxnSpPr>
        <xdr:spPr>
          <a:xfrm>
            <a:off x="4118229" y="7545548"/>
            <a:ext cx="1298362" cy="332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76" name="Straight Connector 75">
            <a:extLst>
              <a:ext uri="{FF2B5EF4-FFF2-40B4-BE49-F238E27FC236}">
                <a16:creationId xmlns:a16="http://schemas.microsoft.com/office/drawing/2014/main" id="{00000000-0008-0000-0200-00004C000000}"/>
              </a:ext>
            </a:extLst>
          </xdr:cNvPr>
          <xdr:cNvCxnSpPr/>
        </xdr:nvCxnSpPr>
        <xdr:spPr>
          <a:xfrm>
            <a:off x="4121873" y="7180319"/>
            <a:ext cx="1298362" cy="3320"/>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1</xdr:col>
      <xdr:colOff>75595</xdr:colOff>
      <xdr:row>41</xdr:row>
      <xdr:rowOff>30238</xdr:rowOff>
    </xdr:from>
    <xdr:to>
      <xdr:col>9</xdr:col>
      <xdr:colOff>556966</xdr:colOff>
      <xdr:row>49</xdr:row>
      <xdr:rowOff>186132</xdr:rowOff>
    </xdr:to>
    <xdr:grpSp>
      <xdr:nvGrpSpPr>
        <xdr:cNvPr id="99" name="Group 98">
          <a:extLst>
            <a:ext uri="{FF2B5EF4-FFF2-40B4-BE49-F238E27FC236}">
              <a16:creationId xmlns:a16="http://schemas.microsoft.com/office/drawing/2014/main" id="{00000000-0008-0000-0200-000063000000}"/>
            </a:ext>
          </a:extLst>
        </xdr:cNvPr>
        <xdr:cNvGrpSpPr/>
      </xdr:nvGrpSpPr>
      <xdr:grpSpPr>
        <a:xfrm>
          <a:off x="169048" y="7801200"/>
          <a:ext cx="5664409" cy="1586441"/>
          <a:chOff x="165453" y="7991700"/>
          <a:chExt cx="5603305" cy="1656531"/>
        </a:xfrm>
      </xdr:grpSpPr>
      <xdr:graphicFrame macro="">
        <xdr:nvGraphicFramePr>
          <xdr:cNvPr id="11" name="Chart 10">
            <a:hlinkClick xmlns:r="http://schemas.openxmlformats.org/officeDocument/2006/relationships" r:id="rId8" tooltip="Select only partner slicer in dashboard.(dont select any particular client)"/>
            <a:extLst>
              <a:ext uri="{FF2B5EF4-FFF2-40B4-BE49-F238E27FC236}">
                <a16:creationId xmlns:a16="http://schemas.microsoft.com/office/drawing/2014/main" id="{00000000-0008-0000-0200-00000B000000}"/>
              </a:ext>
            </a:extLst>
          </xdr:cNvPr>
          <xdr:cNvGraphicFramePr>
            <a:graphicFrameLocks/>
          </xdr:cNvGraphicFramePr>
        </xdr:nvGraphicFramePr>
        <xdr:xfrm>
          <a:off x="170342" y="8168631"/>
          <a:ext cx="3212459" cy="1479600"/>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77" name="TextBox 76">
            <a:extLst>
              <a:ext uri="{FF2B5EF4-FFF2-40B4-BE49-F238E27FC236}">
                <a16:creationId xmlns:a16="http://schemas.microsoft.com/office/drawing/2014/main" id="{00000000-0008-0000-0200-00004D000000}"/>
              </a:ext>
            </a:extLst>
          </xdr:cNvPr>
          <xdr:cNvSpPr txBox="1"/>
        </xdr:nvSpPr>
        <xdr:spPr>
          <a:xfrm>
            <a:off x="165453" y="7991700"/>
            <a:ext cx="5603305" cy="1321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b="1">
                <a:solidFill>
                  <a:schemeClr val="dk1"/>
                </a:solidFill>
                <a:effectLst/>
                <a:latin typeface="+mn-lt"/>
                <a:ea typeface="+mn-ea"/>
                <a:cs typeface="+mn-cs"/>
              </a:rPr>
              <a:t>Status 3</a:t>
            </a:r>
            <a:endParaRPr lang="en-IN" sz="1200">
              <a:effectLst/>
            </a:endParaRPr>
          </a:p>
        </xdr:txBody>
      </xdr:sp>
      <xdr:sp macro="" textlink="AB41">
        <xdr:nvSpPr>
          <xdr:cNvPr id="78" name="Rectangle 77">
            <a:extLst>
              <a:ext uri="{FF2B5EF4-FFF2-40B4-BE49-F238E27FC236}">
                <a16:creationId xmlns:a16="http://schemas.microsoft.com/office/drawing/2014/main" id="{00000000-0008-0000-0200-00004E000000}"/>
              </a:ext>
            </a:extLst>
          </xdr:cNvPr>
          <xdr:cNvSpPr/>
        </xdr:nvSpPr>
        <xdr:spPr>
          <a:xfrm>
            <a:off x="2843412" y="8646770"/>
            <a:ext cx="434948" cy="299001"/>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CCB108C-93C7-41BC-9382-5BB18763448C}" type="TxLink">
              <a:rPr lang="en-US" sz="1100" b="1" i="0" u="none" strike="noStrike">
                <a:solidFill>
                  <a:srgbClr val="000000"/>
                </a:solidFill>
                <a:latin typeface="Calibri"/>
                <a:ea typeface="+mn-ea"/>
                <a:cs typeface="Calibri"/>
              </a:rPr>
              <a:pPr marL="0" indent="0" algn="ctr"/>
              <a:t>64%</a:t>
            </a:fld>
            <a:endParaRPr lang="en-US" sz="1000" b="1" i="0" u="none" strike="noStrike">
              <a:solidFill>
                <a:srgbClr val="000000"/>
              </a:solidFill>
              <a:latin typeface="Calibri"/>
              <a:ea typeface="+mn-ea"/>
              <a:cs typeface="Calibri"/>
            </a:endParaRPr>
          </a:p>
        </xdr:txBody>
      </xdr:sp>
      <xdr:sp macro="" textlink="AB43">
        <xdr:nvSpPr>
          <xdr:cNvPr id="79" name="Rectangle 78">
            <a:extLst>
              <a:ext uri="{FF2B5EF4-FFF2-40B4-BE49-F238E27FC236}">
                <a16:creationId xmlns:a16="http://schemas.microsoft.com/office/drawing/2014/main" id="{00000000-0008-0000-0200-00004F000000}"/>
              </a:ext>
            </a:extLst>
          </xdr:cNvPr>
          <xdr:cNvSpPr/>
        </xdr:nvSpPr>
        <xdr:spPr>
          <a:xfrm>
            <a:off x="2843237" y="9305975"/>
            <a:ext cx="435299" cy="300673"/>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7BCD5AA1-54C6-47C9-BA9F-24D063A88718}" type="TxLink">
              <a:rPr lang="en-US" sz="1100" b="1" i="0" u="none" strike="noStrike">
                <a:solidFill>
                  <a:srgbClr val="000000"/>
                </a:solidFill>
                <a:latin typeface="Calibri"/>
                <a:ea typeface="+mn-ea"/>
                <a:cs typeface="Calibri"/>
              </a:rPr>
              <a:pPr marL="0" indent="0" algn="ctr"/>
              <a:t>10%</a:t>
            </a:fld>
            <a:endParaRPr lang="en-US" sz="1100" b="1" i="0" u="none" strike="noStrike">
              <a:solidFill>
                <a:srgbClr val="000000"/>
              </a:solidFill>
              <a:latin typeface="Calibri"/>
              <a:ea typeface="+mn-ea"/>
              <a:cs typeface="Calibri"/>
            </a:endParaRPr>
          </a:p>
        </xdr:txBody>
      </xdr:sp>
      <xdr:sp macro="" textlink="AB42">
        <xdr:nvSpPr>
          <xdr:cNvPr id="80" name="Rectangle 79">
            <a:extLst>
              <a:ext uri="{FF2B5EF4-FFF2-40B4-BE49-F238E27FC236}">
                <a16:creationId xmlns:a16="http://schemas.microsoft.com/office/drawing/2014/main" id="{00000000-0008-0000-0200-000050000000}"/>
              </a:ext>
            </a:extLst>
          </xdr:cNvPr>
          <xdr:cNvSpPr/>
        </xdr:nvSpPr>
        <xdr:spPr>
          <a:xfrm>
            <a:off x="2843237" y="8975680"/>
            <a:ext cx="435299" cy="300387"/>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D8D6920E-6C88-49C8-858D-11E8DDC0918A}" type="TxLink">
              <a:rPr lang="en-US" sz="1100" b="1" i="0" u="none" strike="noStrike">
                <a:solidFill>
                  <a:srgbClr val="000000"/>
                </a:solidFill>
                <a:latin typeface="Calibri"/>
                <a:ea typeface="+mn-ea"/>
                <a:cs typeface="Calibri"/>
              </a:rPr>
              <a:pPr marL="0" indent="0" algn="ctr"/>
              <a:t>14%</a:t>
            </a:fld>
            <a:endParaRPr lang="en-US" sz="1100" b="1" i="0" u="none" strike="noStrike">
              <a:solidFill>
                <a:srgbClr val="000000"/>
              </a:solidFill>
              <a:latin typeface="Calibri"/>
              <a:ea typeface="+mn-ea"/>
              <a:cs typeface="Calibri"/>
            </a:endParaRPr>
          </a:p>
        </xdr:txBody>
      </xdr:sp>
      <xdr:sp macro="" textlink="AB40">
        <xdr:nvSpPr>
          <xdr:cNvPr id="81" name="Rectangle 80">
            <a:extLst>
              <a:ext uri="{FF2B5EF4-FFF2-40B4-BE49-F238E27FC236}">
                <a16:creationId xmlns:a16="http://schemas.microsoft.com/office/drawing/2014/main" id="{00000000-0008-0000-0200-000051000000}"/>
              </a:ext>
            </a:extLst>
          </xdr:cNvPr>
          <xdr:cNvSpPr/>
        </xdr:nvSpPr>
        <xdr:spPr>
          <a:xfrm>
            <a:off x="2843237" y="8316474"/>
            <a:ext cx="435299" cy="300387"/>
          </a:xfrm>
          <a:prstGeom prst="rect">
            <a:avLst/>
          </a:prstGeom>
          <a:ln>
            <a:noFill/>
          </a:ln>
        </xdr:spPr>
        <xdr:style>
          <a:lnRef idx="2">
            <a:schemeClr val="accent6"/>
          </a:lnRef>
          <a:fillRef idx="1">
            <a:schemeClr val="lt1"/>
          </a:fillRef>
          <a:effectRef idx="0">
            <a:schemeClr val="accent6"/>
          </a:effectRef>
          <a:fontRef idx="minor">
            <a:schemeClr val="dk1"/>
          </a:fontRef>
        </xdr:style>
        <xdr:txBody>
          <a:bodyPr wrap="square"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1A0140FB-E1E7-4956-B227-BC1C36015F4E}" type="TxLink">
              <a:rPr lang="en-US" sz="1100" b="1" i="0" u="none" strike="noStrike">
                <a:solidFill>
                  <a:srgbClr val="000000"/>
                </a:solidFill>
                <a:latin typeface="Calibri"/>
                <a:ea typeface="+mn-ea"/>
                <a:cs typeface="Calibri"/>
              </a:rPr>
              <a:pPr marL="0" indent="0" algn="ctr"/>
              <a:t>12%</a:t>
            </a:fld>
            <a:endParaRPr lang="en-US" sz="1000" b="1" i="0" u="none" strike="noStrike">
              <a:solidFill>
                <a:srgbClr val="000000"/>
              </a:solidFill>
              <a:latin typeface="Calibri"/>
              <a:ea typeface="+mn-ea"/>
              <a:cs typeface="Calibri"/>
            </a:endParaRPr>
          </a:p>
        </xdr:txBody>
      </xdr:sp>
      <xdr:sp macro="" textlink="">
        <xdr:nvSpPr>
          <xdr:cNvPr id="86" name="Rectangle 85">
            <a:extLst>
              <a:ext uri="{FF2B5EF4-FFF2-40B4-BE49-F238E27FC236}">
                <a16:creationId xmlns:a16="http://schemas.microsoft.com/office/drawing/2014/main" id="{00000000-0008-0000-0200-000056000000}"/>
              </a:ext>
            </a:extLst>
          </xdr:cNvPr>
          <xdr:cNvSpPr/>
        </xdr:nvSpPr>
        <xdr:spPr>
          <a:xfrm>
            <a:off x="4104915" y="8135330"/>
            <a:ext cx="1301259" cy="1493079"/>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sp macro="" textlink="">
        <xdr:nvSpPr>
          <xdr:cNvPr id="87" name="TextBox 86">
            <a:extLst>
              <a:ext uri="{FF2B5EF4-FFF2-40B4-BE49-F238E27FC236}">
                <a16:creationId xmlns:a16="http://schemas.microsoft.com/office/drawing/2014/main" id="{00000000-0008-0000-0200-000057000000}"/>
              </a:ext>
            </a:extLst>
          </xdr:cNvPr>
          <xdr:cNvSpPr txBox="1"/>
        </xdr:nvSpPr>
        <xdr:spPr>
          <a:xfrm>
            <a:off x="4132467" y="8150022"/>
            <a:ext cx="1244254" cy="1896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Completed</a:t>
            </a:r>
          </a:p>
        </xdr:txBody>
      </xdr:sp>
      <xdr:sp macro="" textlink="'Pivot 3(Line chart)'!R13">
        <xdr:nvSpPr>
          <xdr:cNvPr id="88" name="Rectangle 87">
            <a:extLst>
              <a:ext uri="{FF2B5EF4-FFF2-40B4-BE49-F238E27FC236}">
                <a16:creationId xmlns:a16="http://schemas.microsoft.com/office/drawing/2014/main" id="{00000000-0008-0000-0200-000058000000}"/>
              </a:ext>
            </a:extLst>
          </xdr:cNvPr>
          <xdr:cNvSpPr/>
        </xdr:nvSpPr>
        <xdr:spPr>
          <a:xfrm>
            <a:off x="4132467" y="8332012"/>
            <a:ext cx="1244254" cy="189691"/>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3E2D3CCC-8E63-4C1A-BA81-50500BED043E}" type="TxLink">
              <a:rPr lang="en-US" sz="1200" b="1" i="0" u="none" strike="noStrike">
                <a:solidFill>
                  <a:srgbClr val="000000"/>
                </a:solidFill>
                <a:latin typeface="Calibri"/>
                <a:cs typeface="Calibri"/>
              </a:rPr>
              <a:pPr algn="ctr"/>
              <a:t>14</a:t>
            </a:fld>
            <a:endParaRPr lang="en-IN" sz="1200" b="1"/>
          </a:p>
        </xdr:txBody>
      </xdr:sp>
      <xdr:sp macro="" textlink="">
        <xdr:nvSpPr>
          <xdr:cNvPr id="89" name="TextBox 88">
            <a:extLst>
              <a:ext uri="{FF2B5EF4-FFF2-40B4-BE49-F238E27FC236}">
                <a16:creationId xmlns:a16="http://schemas.microsoft.com/office/drawing/2014/main" id="{00000000-0008-0000-0200-000059000000}"/>
              </a:ext>
            </a:extLst>
          </xdr:cNvPr>
          <xdr:cNvSpPr txBox="1"/>
        </xdr:nvSpPr>
        <xdr:spPr>
          <a:xfrm>
            <a:off x="4132280" y="8514002"/>
            <a:ext cx="1244628" cy="188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Work in progress</a:t>
            </a:r>
          </a:p>
        </xdr:txBody>
      </xdr:sp>
      <xdr:sp macro="" textlink="'Pivot 3(Line chart)'!R16">
        <xdr:nvSpPr>
          <xdr:cNvPr id="90" name="Rectangle 89">
            <a:extLst>
              <a:ext uri="{FF2B5EF4-FFF2-40B4-BE49-F238E27FC236}">
                <a16:creationId xmlns:a16="http://schemas.microsoft.com/office/drawing/2014/main" id="{00000000-0008-0000-0200-00005A000000}"/>
              </a:ext>
            </a:extLst>
          </xdr:cNvPr>
          <xdr:cNvSpPr/>
        </xdr:nvSpPr>
        <xdr:spPr>
          <a:xfrm>
            <a:off x="4132467" y="8695186"/>
            <a:ext cx="1244254" cy="189691"/>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1F9BAEF2-432B-42F4-B69E-5F6B6669646E}" type="TxLink">
              <a:rPr lang="en-US" sz="1200" b="1" i="0" u="none" strike="noStrike">
                <a:solidFill>
                  <a:srgbClr val="000000"/>
                </a:solidFill>
                <a:latin typeface="Calibri"/>
                <a:cs typeface="Calibri"/>
              </a:rPr>
              <a:pPr algn="ctr"/>
              <a:t>78</a:t>
            </a:fld>
            <a:endParaRPr lang="en-IN" sz="1200" b="1"/>
          </a:p>
        </xdr:txBody>
      </xdr:sp>
      <xdr:sp macro="" textlink="">
        <xdr:nvSpPr>
          <xdr:cNvPr id="91" name="TextBox 90">
            <a:extLst>
              <a:ext uri="{FF2B5EF4-FFF2-40B4-BE49-F238E27FC236}">
                <a16:creationId xmlns:a16="http://schemas.microsoft.com/office/drawing/2014/main" id="{00000000-0008-0000-0200-00005B000000}"/>
              </a:ext>
            </a:extLst>
          </xdr:cNvPr>
          <xdr:cNvSpPr txBox="1"/>
        </xdr:nvSpPr>
        <xdr:spPr>
          <a:xfrm>
            <a:off x="4132280" y="8877176"/>
            <a:ext cx="1244628" cy="188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commenced</a:t>
            </a:r>
          </a:p>
        </xdr:txBody>
      </xdr:sp>
      <xdr:sp macro="" textlink="">
        <xdr:nvSpPr>
          <xdr:cNvPr id="92" name="TextBox 91">
            <a:extLst>
              <a:ext uri="{FF2B5EF4-FFF2-40B4-BE49-F238E27FC236}">
                <a16:creationId xmlns:a16="http://schemas.microsoft.com/office/drawing/2014/main" id="{00000000-0008-0000-0200-00005C000000}"/>
              </a:ext>
            </a:extLst>
          </xdr:cNvPr>
          <xdr:cNvSpPr txBox="1"/>
        </xdr:nvSpPr>
        <xdr:spPr>
          <a:xfrm>
            <a:off x="4132280" y="9240350"/>
            <a:ext cx="1244628" cy="188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Not Applicable</a:t>
            </a:r>
          </a:p>
        </xdr:txBody>
      </xdr:sp>
      <xdr:sp macro="" textlink="'Pivot 3(Line chart)'!R14">
        <xdr:nvSpPr>
          <xdr:cNvPr id="93" name="Rectangle 92">
            <a:extLst>
              <a:ext uri="{FF2B5EF4-FFF2-40B4-BE49-F238E27FC236}">
                <a16:creationId xmlns:a16="http://schemas.microsoft.com/office/drawing/2014/main" id="{00000000-0008-0000-0200-00005D000000}"/>
              </a:ext>
            </a:extLst>
          </xdr:cNvPr>
          <xdr:cNvSpPr/>
        </xdr:nvSpPr>
        <xdr:spPr>
          <a:xfrm>
            <a:off x="4132467" y="9058360"/>
            <a:ext cx="1244254" cy="189691"/>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1C4662C7-415F-42A2-8868-B38E72D0CB92}" type="TxLink">
              <a:rPr lang="en-US" sz="1200" b="1" i="0" u="none" strike="noStrike">
                <a:solidFill>
                  <a:srgbClr val="000000"/>
                </a:solidFill>
                <a:latin typeface="Calibri"/>
                <a:cs typeface="Calibri"/>
              </a:rPr>
              <a:pPr algn="ctr"/>
              <a:t>17</a:t>
            </a:fld>
            <a:endParaRPr lang="en-IN" sz="1200" b="1"/>
          </a:p>
        </xdr:txBody>
      </xdr:sp>
      <xdr:sp macro="" textlink="'Pivot 3(Line chart)'!R15">
        <xdr:nvSpPr>
          <xdr:cNvPr id="94" name="Rectangle 93">
            <a:extLst>
              <a:ext uri="{FF2B5EF4-FFF2-40B4-BE49-F238E27FC236}">
                <a16:creationId xmlns:a16="http://schemas.microsoft.com/office/drawing/2014/main" id="{00000000-0008-0000-0200-00005E000000}"/>
              </a:ext>
            </a:extLst>
          </xdr:cNvPr>
          <xdr:cNvSpPr/>
        </xdr:nvSpPr>
        <xdr:spPr>
          <a:xfrm>
            <a:off x="4132467" y="9421536"/>
            <a:ext cx="1244254" cy="189691"/>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436E03A2-81B9-41CB-84DD-61FBA03F918C}" type="TxLink">
              <a:rPr lang="en-US" sz="1200" b="1" i="0" u="none" strike="noStrike">
                <a:solidFill>
                  <a:srgbClr val="000000"/>
                </a:solidFill>
                <a:latin typeface="Calibri"/>
                <a:cs typeface="Calibri"/>
              </a:rPr>
              <a:pPr algn="ctr"/>
              <a:t>12</a:t>
            </a:fld>
            <a:endParaRPr lang="en-IN" sz="1200" b="1"/>
          </a:p>
        </xdr:txBody>
      </xdr:sp>
      <xdr:cxnSp macro="">
        <xdr:nvCxnSpPr>
          <xdr:cNvPr id="95" name="Straight Connector 94">
            <a:extLst>
              <a:ext uri="{FF2B5EF4-FFF2-40B4-BE49-F238E27FC236}">
                <a16:creationId xmlns:a16="http://schemas.microsoft.com/office/drawing/2014/main" id="{00000000-0008-0000-0200-00005F000000}"/>
              </a:ext>
            </a:extLst>
          </xdr:cNvPr>
          <xdr:cNvCxnSpPr/>
        </xdr:nvCxnSpPr>
        <xdr:spPr>
          <a:xfrm>
            <a:off x="4109978" y="8501303"/>
            <a:ext cx="1298362" cy="331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6" name="Straight Connector 95">
            <a:extLst>
              <a:ext uri="{FF2B5EF4-FFF2-40B4-BE49-F238E27FC236}">
                <a16:creationId xmlns:a16="http://schemas.microsoft.com/office/drawing/2014/main" id="{00000000-0008-0000-0200-000060000000}"/>
              </a:ext>
            </a:extLst>
          </xdr:cNvPr>
          <xdr:cNvCxnSpPr/>
        </xdr:nvCxnSpPr>
        <xdr:spPr>
          <a:xfrm>
            <a:off x="4103109" y="9242814"/>
            <a:ext cx="1298362" cy="331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7" name="Straight Connector 96">
            <a:extLst>
              <a:ext uri="{FF2B5EF4-FFF2-40B4-BE49-F238E27FC236}">
                <a16:creationId xmlns:a16="http://schemas.microsoft.com/office/drawing/2014/main" id="{00000000-0008-0000-0200-000061000000}"/>
              </a:ext>
            </a:extLst>
          </xdr:cNvPr>
          <xdr:cNvCxnSpPr/>
        </xdr:nvCxnSpPr>
        <xdr:spPr>
          <a:xfrm>
            <a:off x="4106753" y="8877933"/>
            <a:ext cx="1298362" cy="3317"/>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c:userShapes xmlns:c="http://schemas.openxmlformats.org/drawingml/2006/chart">
  <cdr:relSizeAnchor xmlns:cdr="http://schemas.openxmlformats.org/drawingml/2006/chartDrawing">
    <cdr:from>
      <cdr:x>0.86176</cdr:x>
      <cdr:y>0.29086</cdr:y>
    </cdr:from>
    <cdr:to>
      <cdr:x>0.98865</cdr:x>
      <cdr:y>0.41896</cdr:y>
    </cdr:to>
    <cdr:sp macro="" textlink="'Pivot 2(Completion Status)'!$I$5">
      <cdr:nvSpPr>
        <cdr:cNvPr id="2" name="Rectangle 1"/>
        <cdr:cNvSpPr/>
      </cdr:nvSpPr>
      <cdr:spPr>
        <a:xfrm xmlns:a="http://schemas.openxmlformats.org/drawingml/2006/main">
          <a:off x="2955846" y="703037"/>
          <a:ext cx="435249" cy="309642"/>
        </a:xfrm>
        <a:prstGeom xmlns:a="http://schemas.openxmlformats.org/drawingml/2006/main" prst="rect">
          <a:avLst/>
        </a:prstGeom>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wrap="square"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B4D2FBED-06FD-4F2B-A0B9-7390D0BBD5A1}" type="TxLink">
            <a:rPr lang="en-US" sz="1100" b="1" i="0" u="none" strike="noStrike">
              <a:solidFill>
                <a:srgbClr val="000000"/>
              </a:solidFill>
              <a:latin typeface="Calibri"/>
              <a:ea typeface="+mn-ea"/>
              <a:cs typeface="Calibri"/>
            </a:rPr>
            <a:pPr marL="0" indent="0" algn="ctr"/>
            <a:t>2%</a:t>
          </a:fld>
          <a:endParaRPr lang="en-US" sz="1000" b="1" i="0" u="none" strike="noStrike">
            <a:solidFill>
              <a:srgbClr val="000000"/>
            </a:solidFill>
            <a:latin typeface="Calibri"/>
            <a:ea typeface="+mn-ea"/>
            <a:cs typeface="Calibri"/>
          </a:endParaRPr>
        </a:p>
      </cdr:txBody>
    </cdr:sp>
  </cdr:relSizeAnchor>
  <cdr:relSizeAnchor xmlns:cdr="http://schemas.openxmlformats.org/drawingml/2006/chartDrawing">
    <cdr:from>
      <cdr:x>0.86166</cdr:x>
      <cdr:y>0.74196</cdr:y>
    </cdr:from>
    <cdr:to>
      <cdr:x>0.98865</cdr:x>
      <cdr:y>0.87004</cdr:y>
    </cdr:to>
    <cdr:sp macro="" textlink="'Pivot 2(Completion Status)'!$I$7">
      <cdr:nvSpPr>
        <cdr:cNvPr id="3" name="Rectangle 2"/>
        <cdr:cNvSpPr/>
      </cdr:nvSpPr>
      <cdr:spPr>
        <a:xfrm xmlns:a="http://schemas.openxmlformats.org/drawingml/2006/main">
          <a:off x="2955495" y="1793382"/>
          <a:ext cx="435600" cy="309600"/>
        </a:xfrm>
        <a:prstGeom xmlns:a="http://schemas.openxmlformats.org/drawingml/2006/main" prst="rect">
          <a:avLst/>
        </a:prstGeom>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wrap="square"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A4BFCC5E-EBE4-4A71-A097-897FA202D654}" type="TxLink">
            <a:rPr lang="en-US" sz="1100" b="1" i="0" u="none" strike="noStrike">
              <a:solidFill>
                <a:srgbClr val="000000"/>
              </a:solidFill>
              <a:latin typeface="Calibri"/>
              <a:ea typeface="+mn-ea"/>
              <a:cs typeface="Calibri"/>
            </a:rPr>
            <a:pPr marL="0" indent="0" algn="ctr"/>
            <a:t>98%</a:t>
          </a:fld>
          <a:endParaRPr lang="en-US" sz="1100" b="1" i="0" u="none" strike="noStrike">
            <a:solidFill>
              <a:srgbClr val="000000"/>
            </a:solidFill>
            <a:latin typeface="Calibri"/>
            <a:ea typeface="+mn-ea"/>
            <a:cs typeface="Calibri"/>
          </a:endParaRPr>
        </a:p>
      </cdr:txBody>
    </cdr:sp>
  </cdr:relSizeAnchor>
  <cdr:relSizeAnchor xmlns:cdr="http://schemas.openxmlformats.org/drawingml/2006/chartDrawing">
    <cdr:from>
      <cdr:x>0.86166</cdr:x>
      <cdr:y>0.51642</cdr:y>
    </cdr:from>
    <cdr:to>
      <cdr:x>0.98865</cdr:x>
      <cdr:y>0.6445</cdr:y>
    </cdr:to>
    <cdr:sp macro="" textlink="'Pivot 2(Completion Status)'!$I$6">
      <cdr:nvSpPr>
        <cdr:cNvPr id="4" name="Rectangle 3"/>
        <cdr:cNvSpPr/>
      </cdr:nvSpPr>
      <cdr:spPr>
        <a:xfrm xmlns:a="http://schemas.openxmlformats.org/drawingml/2006/main">
          <a:off x="2955495" y="1248231"/>
          <a:ext cx="435600" cy="309600"/>
        </a:xfrm>
        <a:prstGeom xmlns:a="http://schemas.openxmlformats.org/drawingml/2006/main" prst="rect">
          <a:avLst/>
        </a:prstGeom>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wrap="square"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805B39DF-4C91-42C7-9C9F-603D60259C64}" type="TxLink">
            <a:rPr lang="en-US" sz="1100" b="1" i="0" u="none" strike="noStrike">
              <a:solidFill>
                <a:srgbClr val="000000"/>
              </a:solidFill>
              <a:latin typeface="Calibri"/>
              <a:ea typeface="+mn-ea"/>
              <a:cs typeface="Calibri"/>
            </a:rPr>
            <a:pPr marL="0" indent="0" algn="ctr"/>
            <a:t> </a:t>
          </a:fld>
          <a:endParaRPr lang="en-US" sz="1100" b="1" i="0" u="none" strike="noStrike">
            <a:solidFill>
              <a:srgbClr val="000000"/>
            </a:solidFill>
            <a:latin typeface="Calibri"/>
            <a:ea typeface="+mn-ea"/>
            <a:cs typeface="Calibri"/>
          </a:endParaRPr>
        </a:p>
      </cdr:txBody>
    </cdr:sp>
  </cdr:relSizeAnchor>
  <cdr:relSizeAnchor xmlns:cdr="http://schemas.openxmlformats.org/drawingml/2006/chartDrawing">
    <cdr:from>
      <cdr:x>0.86166</cdr:x>
      <cdr:y>0.06532</cdr:y>
    </cdr:from>
    <cdr:to>
      <cdr:x>0.98865</cdr:x>
      <cdr:y>0.19341</cdr:y>
    </cdr:to>
    <cdr:sp macro="" textlink="'Pivot 2(Completion Status)'!$I$4">
      <cdr:nvSpPr>
        <cdr:cNvPr id="5" name="Rectangle 4"/>
        <cdr:cNvSpPr/>
      </cdr:nvSpPr>
      <cdr:spPr>
        <a:xfrm xmlns:a="http://schemas.openxmlformats.org/drawingml/2006/main">
          <a:off x="2955495" y="157885"/>
          <a:ext cx="435600" cy="309600"/>
        </a:xfrm>
        <a:prstGeom xmlns:a="http://schemas.openxmlformats.org/drawingml/2006/main" prst="rect">
          <a:avLst/>
        </a:prstGeom>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wrap="square"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D082DABD-E4F7-442A-A809-7E85006C3D00}" type="TxLink">
            <a:rPr lang="en-US" sz="1100" b="1" i="0" u="none" strike="noStrike">
              <a:solidFill>
                <a:srgbClr val="000000"/>
              </a:solidFill>
              <a:latin typeface="Calibri"/>
              <a:ea typeface="+mn-ea"/>
              <a:cs typeface="Calibri"/>
            </a:rPr>
            <a:pPr marL="0" indent="0" algn="ctr"/>
            <a:t>1%</a:t>
          </a:fld>
          <a:endParaRPr lang="en-US" sz="1000" b="1" i="0" u="none" strike="noStrike">
            <a:solidFill>
              <a:srgbClr val="000000"/>
            </a:solidFill>
            <a:latin typeface="Calibri"/>
            <a:ea typeface="+mn-ea"/>
            <a:cs typeface="Calibri"/>
          </a:endParaRPr>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7</xdr:col>
      <xdr:colOff>91440</xdr:colOff>
      <xdr:row>8</xdr:row>
      <xdr:rowOff>152401</xdr:rowOff>
    </xdr:from>
    <xdr:to>
      <xdr:col>10</xdr:col>
      <xdr:colOff>91440</xdr:colOff>
      <xdr:row>19</xdr:row>
      <xdr:rowOff>121921</xdr:rowOff>
    </xdr:to>
    <mc:AlternateContent xmlns:mc="http://schemas.openxmlformats.org/markup-compatibility/2006" xmlns:a14="http://schemas.microsoft.com/office/drawing/2010/main">
      <mc:Choice Requires="a14">
        <xdr:graphicFrame macro="">
          <xdr:nvGraphicFramePr>
            <xdr:cNvPr id="2" name="Audit c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udit co-ordinator"/>
            </a:graphicData>
          </a:graphic>
        </xdr:graphicFrame>
      </mc:Choice>
      <mc:Fallback xmlns="">
        <xdr:sp macro="" textlink="">
          <xdr:nvSpPr>
            <xdr:cNvPr id="0" name=""/>
            <xdr:cNvSpPr>
              <a:spLocks noTextEdit="1"/>
            </xdr:cNvSpPr>
          </xdr:nvSpPr>
          <xdr:spPr>
            <a:xfrm>
              <a:off x="6400800" y="1615441"/>
              <a:ext cx="1828800" cy="1981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18</xdr:row>
      <xdr:rowOff>66675</xdr:rowOff>
    </xdr:from>
    <xdr:to>
      <xdr:col>15</xdr:col>
      <xdr:colOff>30000</xdr:colOff>
      <xdr:row>25</xdr:row>
      <xdr:rowOff>142875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9525</xdr:colOff>
      <xdr:row>27</xdr:row>
      <xdr:rowOff>9525</xdr:rowOff>
    </xdr:from>
    <xdr:to>
      <xdr:col>15</xdr:col>
      <xdr:colOff>39525</xdr:colOff>
      <xdr:row>34</xdr:row>
      <xdr:rowOff>85725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704850</xdr:colOff>
      <xdr:row>35</xdr:row>
      <xdr:rowOff>95250</xdr:rowOff>
    </xdr:from>
    <xdr:to>
      <xdr:col>14</xdr:col>
      <xdr:colOff>601500</xdr:colOff>
      <xdr:row>42</xdr:row>
      <xdr:rowOff>171450</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238125</xdr:colOff>
      <xdr:row>5</xdr:row>
      <xdr:rowOff>66675</xdr:rowOff>
    </xdr:from>
    <xdr:to>
      <xdr:col>7</xdr:col>
      <xdr:colOff>238125</xdr:colOff>
      <xdr:row>13</xdr:row>
      <xdr:rowOff>0</xdr:rowOff>
    </xdr:to>
    <mc:AlternateContent xmlns:mc="http://schemas.openxmlformats.org/markup-compatibility/2006" xmlns:a14="http://schemas.microsoft.com/office/drawing/2010/main">
      <mc:Choice Requires="a14">
        <xdr:graphicFrame macro="">
          <xdr:nvGraphicFramePr>
            <xdr:cNvPr id="2" name="Partner ">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Partner "/>
            </a:graphicData>
          </a:graphic>
        </xdr:graphicFrame>
      </mc:Choice>
      <mc:Fallback xmlns="">
        <xdr:sp macro="" textlink="">
          <xdr:nvSpPr>
            <xdr:cNvPr id="0" name=""/>
            <xdr:cNvSpPr>
              <a:spLocks noTextEdit="1"/>
            </xdr:cNvSpPr>
          </xdr:nvSpPr>
          <xdr:spPr>
            <a:xfrm>
              <a:off x="5591175" y="1019175"/>
              <a:ext cx="1828800" cy="1457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4</xdr:col>
      <xdr:colOff>28575</xdr:colOff>
      <xdr:row>7</xdr:row>
      <xdr:rowOff>180975</xdr:rowOff>
    </xdr:from>
    <xdr:to>
      <xdr:col>9</xdr:col>
      <xdr:colOff>66675</xdr:colOff>
      <xdr:row>19</xdr:row>
      <xdr:rowOff>47625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828675</xdr:colOff>
      <xdr:row>5</xdr:row>
      <xdr:rowOff>66675</xdr:rowOff>
    </xdr:from>
    <xdr:to>
      <xdr:col>3</xdr:col>
      <xdr:colOff>872490</xdr:colOff>
      <xdr:row>18</xdr:row>
      <xdr:rowOff>114300</xdr:rowOff>
    </xdr:to>
    <mc:AlternateContent xmlns:mc="http://schemas.openxmlformats.org/markup-compatibility/2006" xmlns:a14="http://schemas.microsoft.com/office/drawing/2010/main">
      <mc:Choice Requires="a14">
        <xdr:graphicFrame macro="">
          <xdr:nvGraphicFramePr>
            <xdr:cNvPr id="3" name="Year End">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Year End"/>
            </a:graphicData>
          </a:graphic>
        </xdr:graphicFrame>
      </mc:Choice>
      <mc:Fallback xmlns="">
        <xdr:sp macro="" textlink="">
          <xdr:nvSpPr>
            <xdr:cNvPr id="0" name=""/>
            <xdr:cNvSpPr>
              <a:spLocks noTextEdit="1"/>
            </xdr:cNvSpPr>
          </xdr:nvSpPr>
          <xdr:spPr>
            <a:xfrm>
              <a:off x="4162425" y="10191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4922.693506597221" createdVersion="6" refreshedVersion="8" minRefreshableVersion="3" recordCount="121" xr:uid="{00000000-000A-0000-FFFF-FFFF0F000000}">
  <cacheSource type="worksheet">
    <worksheetSource ref="A5:P126" sheet="Consolidated"/>
  </cacheSource>
  <cacheFields count="16">
    <cacheField name="Sr" numFmtId="0">
      <sharedItems containsSemiMixedTypes="0" containsString="0" containsNumber="1" containsInteger="1" minValue="1" maxValue="121"/>
    </cacheField>
    <cacheField name="Client Name" numFmtId="0">
      <sharedItems count="250">
        <s v="Bechtelar - Hoeger"/>
        <s v="Murazik, Kohler and Trantow"/>
        <s v="Jones, Crona and Mraz"/>
        <s v="Berge - Schoen"/>
        <s v="Corkery Inc"/>
        <s v="Windler - Murphy"/>
        <s v="Maggio - Yost"/>
        <s v="Erdman - Auer"/>
        <s v="Prosacco Group"/>
        <s v="Crooks, Quigley and Runte"/>
        <s v="Konopelski Group"/>
        <s v="Yost Group"/>
        <s v="Metz - Greenfelder"/>
        <s v="Pouros - Collier"/>
        <s v="Hane, Zboncak and Schmitt"/>
        <s v="Kling LLC"/>
        <s v="Jaskolski - Gutkowski"/>
        <s v="Sanford - Mayer"/>
        <s v="Becker, West and Terry"/>
        <s v="Dickinson Inc"/>
        <s v="Altenwerth Group"/>
        <s v="Heaney Inc"/>
        <s v="Ortiz - Cole"/>
        <s v="Morar, Langworth and Jenkins"/>
        <s v="Hamill and Sons"/>
        <s v="Stark, Nader and Kertzmann"/>
        <s v="Jacobs, Robel and DuBuque"/>
        <s v="Boehm, Kertzmann and Blick"/>
        <s v="Ziemann, Corkery and Daugherty"/>
        <s v="Wunsch - Franecki"/>
        <s v="Crona Group"/>
        <s v="Fadel, Miller and MacGyver"/>
        <s v="Will - Kemmer"/>
        <s v="Leffler, Weimann and Donnelly"/>
        <s v="Botsford, Beer and Mann"/>
        <s v="Breitenberg, Okuneva and Gerhold"/>
        <s v="Feest LLC"/>
        <s v="Langosh - Becker"/>
        <s v="Deckow, Brown and Hermiston"/>
        <s v="Schowalter, Willms and Blanda"/>
        <s v="Rau, Marks and Price"/>
        <s v="Effertz, Beer and Kassulke"/>
        <s v="Boehm Group"/>
        <s v="Kuvalis, Kohler and West"/>
        <s v="Steuber Group"/>
        <s v="Rice - Abbott"/>
        <s v="Bogisich - Johns"/>
        <s v="Durgan - Ebert"/>
        <s v="Klocko, Stanton and O'Conner"/>
        <s v="Shields LLC"/>
        <s v="Kuvalis - Langworth"/>
        <s v="Gleason LLC"/>
        <s v="Reynolds Group"/>
        <s v="Smith, Kunde and Herzog"/>
        <s v="Kshlerin, Steuber and Franecki"/>
        <s v="Watsica Group"/>
        <s v="Reichert, Marquardt and Price"/>
        <s v="Koepp, Farrell and Von"/>
        <s v="McLaughlin - Pacocha"/>
        <s v="Murphy, Maggio and Bahringer"/>
        <s v="Littel, Cronin and Langosh"/>
        <s v="Quigley Inc"/>
        <s v="Kilback - Donnelly"/>
        <s v="Metz, Gulgowski and Friesen"/>
        <s v="Fay, Hand and Turcotte"/>
        <s v="Lindgren - Blanda"/>
        <s v="Brekke - Schmeler"/>
        <s v="Bailey - Wisoky"/>
        <s v="Lehner - Reinger"/>
        <s v="Schuster, Lind and Schmeler"/>
        <s v="Sporer - Olson"/>
        <s v="Schmeler, Kunze and Williamson"/>
        <s v="Jaskolski LLC"/>
        <s v="Macejkovic Inc"/>
        <s v="Welch - Kerluke"/>
        <s v="Raynor and Sons"/>
        <s v="Mertz Group"/>
        <s v="Parisian, Hettinger and Hirthe"/>
        <s v="Prosacco - Harvey"/>
        <s v="Kutch, Haag and Moen"/>
        <s v="Schuppe - Grant"/>
        <s v="Wyman Group"/>
        <s v="Kuhic - Block"/>
        <s v="Thompson LLC"/>
        <s v="Bauch - Lockman"/>
        <s v="Gutmann, Rempel and Buckridge"/>
        <s v="Larson Group"/>
        <s v="Schuppe - Breitenberg"/>
        <s v="Kling - Kohler"/>
        <s v="Zulauf and Sons"/>
        <s v="Kassulke Inc"/>
        <s v="Douglas - Stamm"/>
        <s v="Beahan - Hamill"/>
        <s v="Kirlin LLC"/>
        <s v="Breitenberg - Brakus"/>
        <s v="Hoppe - Jacobi"/>
        <s v="Hansen, Ferry and Ward"/>
        <s v="Gulgowski, Hickle and Morissette"/>
        <s v="Boyer - Weber"/>
        <s v="White, King and Tromp"/>
        <s v="Murray - Bashirian"/>
        <s v="Beahan and Sons"/>
        <s v="Morissette Inc"/>
        <s v="Runolfsdottir LLC"/>
        <s v="Veum, Hermiston and Crooks"/>
        <s v="Kris - Block"/>
        <s v="Willms Inc"/>
        <s v="Monahan, Tromp and Mann"/>
        <s v="Spinka, Zulauf and Dibbert"/>
        <s v="Kautzer, Ratke and Keeling"/>
        <s v="Kessler Group"/>
        <s v="Olson Inc"/>
        <s v="Pollich, Towne and Von"/>
        <s v="Rempel - Senger"/>
        <s v="Wisozk, Cole and Haley"/>
        <s v="Kreiger and Sons"/>
        <s v="Franecki - Bauch"/>
        <s v="Nikolaus Group"/>
        <s v="Schaefer, Rolfson and Denesik"/>
        <s v="Farrell - Gottlieb"/>
        <s v="Grimes - Mosciski"/>
        <s v="Kelvion India P Ltd" u="1"/>
        <s v="IPSOS Research Private Limited" u="1"/>
        <s v="Essilor - Luxottica India Eyewear P. Ltd." u="1"/>
        <s v="Kuwaunee - Koncepo Scientech International P. Ltd." u="1"/>
        <s v="Credit Suisse Finance (I) P. Ltd." u="1"/>
        <s v="Essilor - Vijay Vision P. Ltd. (VVBG)" u="1"/>
        <s v="Essilor - Mamtora " u="1"/>
        <s v="Godrej Housing Finance" u="1"/>
        <s v="Reda Chemicals Private Limited" u="1"/>
        <s v="Kuwaunee - Labway India Private Limited (Main)" u="1"/>
        <s v="Lactalis - Tirumala Milk Products P. Ltd. " u="1"/>
        <s v="Essilor - Lens and Spects P. Ltd." u="1"/>
        <s v="LeaDec india" u="1"/>
        <s v="Exclusive Networks Sales (I) P. Ltd." u="1"/>
        <s v="P&amp;G - Procter &amp; Gamble Home Products Pvt Ltd" u="1"/>
        <s v="NOCIL" u="1"/>
        <s v="Godrej Industries Limited" u="1"/>
        <s v="Kagome Foods India P. Ltd." u="1"/>
        <s v="Zeeco India Private Limited" u="1"/>
        <s v="AVO Carbon India Pvt Ltd" u="1"/>
        <s v="P&amp;G - Gillette India Limited" u="1"/>
        <s v="ExxonMobil Lubricants P. Ltd." u="1"/>
        <s v="Eucare Pharmaceuticals Private Limited" u="1"/>
        <s v="Essilor - Rayban Sun Optics India P. Ltd." u="1"/>
        <s v="GIA Labs" u="1"/>
        <s v="VRL Logistics" u="1"/>
        <s v="Tata Motors Fin Solutions Ltd." u="1"/>
        <s v="Bajaj Allianz Life Insurance Co. Ltd" u="1"/>
        <s v="SW - Sterling and Wilson P. Ltd. " u="1"/>
        <s v="SW - Sterling &amp; Wilson Renewable Energy Ltd" u="1"/>
        <s v="IDFC First Bank " u="1"/>
        <s v="Essilor - Prime Lenses (GKB Vision)" u="1"/>
        <s v="SK - Sharekhan Limited" u="1"/>
        <s v="Supreme - Treon P. Ltd" u="1"/>
        <s v="Expleo Solutions Ltd." u="1"/>
        <s v="Faurecia - Emission Control Technologies (I) P. Ltd. " u="1"/>
        <s v="Amanys Pharma India P. Ltd." u="1"/>
        <s v="SAS - Institute (India) P. Ltd." u="1"/>
        <s v="Faurecia - Automotive Seating (I) P. Ltd." u="1"/>
        <s v="Karnataka Bank Limited" u="1"/>
        <s v="P&amp;G - Gillette Diversified Operations P. Ltd." u="1"/>
        <s v="Novares India Automotive P. Ltd." u="1"/>
        <s v="Bliss Gvs Pharma Limited" u="1"/>
        <s v="Bajaj Holding and Invest Ltd" u="1"/>
        <s v="Kotak Mahindra Investments Ltd." u="1"/>
        <s v="L&amp;T Finance" u="1"/>
        <s v="Multi- Wing India P. Ltd." u="1"/>
        <s v="Radiall India P. Ltd." u="1"/>
        <s v="Scantrans India Private Limited" u="1"/>
        <s v="DTL Anciliaries Ltd." u="1"/>
        <s v="SG - Grindwell Norton" u="1"/>
        <s v="Essilor - India P Ltd. (Conso)" u="1"/>
        <s v="Conde Nast India Private Limited" u="1"/>
        <s v="Valeo - India P. Ltd. (VIL)" u="1"/>
        <s v="FE Fundinfo (Inida) P. Ltd. (Chennai)" u="1"/>
        <s v="Valeo - Frictions Materials (I) Ltd. (VFMI)" u="1"/>
        <s v="Lactalis - Sunfresh Agro Industries P. Ltd. " u="1"/>
        <s v="Godrej &amp; Boyce P Ltd" u="1"/>
        <s v="Havas Life Sorento P. Ltd. " u="1"/>
        <s v="Kartik Steels Limited" u="1"/>
        <s v="National Peroxide Limited" u="1"/>
        <s v="Essilor - GKB Vision P. Ltd" u="1"/>
        <s v="Essilor - PES Optics" u="1"/>
        <s v="Tirumala Milk Products Pvt Ltd." u="1"/>
        <s v="Sodecia India Pvt Ltd" u="1"/>
        <s v="IPSCOM Returnable Pvt. Ltd." u="1"/>
        <s v="Moet Hennessy India Private Limited" u="1"/>
        <s v="Positronics Interconnects Private Limited" u="1"/>
        <s v="UCB India P. Ltd." u="1"/>
        <s v="Essilor - OSD Optics (Coolwinks)" u="1"/>
        <s v="Essilor - Vision Rx Lab P. Ltd (Formerly GKB Rx)" u="1"/>
        <s v="Universal Medicare P. Ltd." u="1"/>
        <s v="P&amp;G - P&amp;G Hygiene and Health Care" u="1"/>
        <s v="Invenire Petrodyne Ltd." u="1"/>
        <s v="ADF Foods Limited" u="1"/>
        <s v="WEG Industries (I) P. Ltd." u="1"/>
        <s v="Faurecia - Clarion India P. Ltd." u="1"/>
        <s v="Valeo - Amalgamations Valeo Clutch  P. Ltd. (AVCPL)" u="1"/>
        <s v="J P Morgan Chase Bank" u="1"/>
        <s v="Camlin Fine Sciences Ltd." u="1"/>
        <s v="Essilor - GKB Hitech Goa" u="1"/>
        <s v="A Raymond Fasteners India P Ltd." u="1"/>
        <s v="Global Vectra" u="1"/>
        <s v="Mazda Colours Ltd." u="1"/>
        <s v="Mifamed Medical P. Ltd (MMPL)" u="1"/>
        <s v="Mission Pharma Logistics (I) P. Ltd (MPL)" u="1"/>
        <s v="Scor Se Insurance " u="1"/>
        <s v="Algorithms Software P. Ltd." u="1"/>
        <s v="Plastic Omnimum Auto Exteriors (I) P. Ltd. " u="1"/>
        <s v="Dinshaw's Dairy Foods P.  Ltd. " u="1"/>
        <s v="Bauchemie - Murasit Bauchemie (Goa) P. Ltd." u="1"/>
        <s v="Tatsuno India P. Ltd." u="1"/>
        <s v="Amoli Organics P. Ltd." u="1"/>
        <s v="Faurecia - India P. Ltd." u="1"/>
        <s v="Sword Global India Pvt Ltd" u="1"/>
        <s v="Geltec P. Ltd." u="1"/>
        <s v="Vistra - Corporate Services (I) P. Ltd." u="1"/>
        <s v="Vistra ITCL (I) Ltd." u="1"/>
        <s v="APPL Gor Plastic P Ltd" u="1"/>
        <s v="Essilor - Delta Lens P. Ltd." u="1"/>
        <s v="Bauchemie - Bauchemie (India) P. Ltd." u="1"/>
        <s v="Ip Softcom (India) Private Limited" u="1"/>
        <s v="Lactalis - Anik Milk Products P. Ltd. " u="1"/>
        <s v="Georg Fischer Piping Systems P. Ltd." u="1"/>
        <s v="Vistra - International Expansion (I) P. Ltd. " u="1"/>
        <s v="Godrej Infotech Ltd." u="1"/>
        <s v="Hitech Corporation Limited" u="1"/>
        <s v="Novares India Automotive Pvt Ltd" u="1"/>
        <s v="Karthik Steel Limited" u="1"/>
        <s v="Coface India Credit Management Services " u="1"/>
        <s v="Essilor - Optics India Equipment’s P. Ltd." u="1"/>
        <s v="A.P.Taraporevala &amp; Sons Pvt. Ltd." u="1"/>
        <s v="William Controls India P. Ltd." u="1"/>
        <s v="Bharat Petroleum Corporation Limited" u="1"/>
        <s v="Decbctochem Engineering P Ltd." u="1"/>
        <s v="Essilor - Shamir Optical India P. Ltd." u="1"/>
        <s v="Bombay Gymkhana Limited" u="1"/>
        <s v="Delfingen India P. Ltd." u="1"/>
        <s v="SK - Espresso Financial Services P. Ltd." u="1"/>
        <s v="Fullerton NBFC" u="1"/>
        <s v="Essilor - VVBG P. Ltd." u="1"/>
        <s v="Hawkins Cookers Limited " u="1"/>
        <s v="Paramount Speciality Forgings" u="1"/>
        <s v="Perma Pipe India Private Limited" u="1"/>
        <s v="HSBC Bank" u="1"/>
        <s v="SAS - R&amp;D India P Ltd." u="1"/>
        <s v="Micro Strategy India P. Ltd." u="1"/>
        <s v="Kuwaunee - Kequip Global Lab Solutions P. Ltd." u="1"/>
        <s v="DIEHL Metal India P Ltd." u="1"/>
      </sharedItems>
    </cacheField>
    <cacheField name="Partner " numFmtId="0">
      <sharedItems count="16">
        <s v="P1"/>
        <s v="P2"/>
        <s v="P3"/>
        <s v="P8"/>
        <s v="P4"/>
        <s v="P5"/>
        <s v="P6"/>
        <s v="P7"/>
        <s v="SVR" u="1"/>
        <s v="CAN" u="1"/>
        <s v="AAK" u="1"/>
        <s v="RRM" u="1"/>
        <s v="FMB" u="1"/>
        <s v="DZF" u="1"/>
        <s v="AAR" u="1"/>
        <s v="JKU" u="1"/>
      </sharedItems>
    </cacheField>
    <cacheField name="Audit co-ordinator" numFmtId="0">
      <sharedItems count="11">
        <s v="Alycia"/>
        <s v="Kendrick"/>
        <s v="Elie"/>
        <s v="Lincoln"/>
        <s v="Aly"/>
        <s v="Zayyan"/>
        <s v="Areej"/>
        <s v="Yassine"/>
        <s v="Adalind"/>
        <s v="Zymir"/>
        <s v="Jaycen"/>
      </sharedItems>
    </cacheField>
    <cacheField name="Audit manager" numFmtId="0">
      <sharedItems count="11">
        <s v="Aashna Winton"/>
        <s v="Lanya Cadet"/>
        <s v="Amarianna Chon"/>
        <s v="Fulton Rye"/>
        <s v="Vivienne Pope"/>
        <s v="Leigha Wahl"/>
        <s v="Harlan Wideman"/>
        <s v="Lahna Bobadilla"/>
        <s v="Kooper Hairston"/>
        <s v="Krislyn Gaspard"/>
        <s v="Hensley Ashworth"/>
      </sharedItems>
    </cacheField>
    <cacheField name="Priority" numFmtId="0">
      <sharedItems containsBlank="1" count="5">
        <s v="II"/>
        <s v="III"/>
        <s v="I"/>
        <m u="1"/>
        <s v="I " u="1"/>
      </sharedItems>
    </cacheField>
    <cacheField name="Client type" numFmtId="0">
      <sharedItems containsBlank="1" count="8">
        <s v="Corporates- ICoFR"/>
        <s v="Other clients (LLP/ Trust/ etc.)"/>
        <s v="Bank/ NBFC"/>
        <s v="Group"/>
        <s v="Large Corporates- Complex"/>
        <s v="Listed"/>
        <s v="Other Corporates- Non ICoFR"/>
        <m u="1"/>
      </sharedItems>
    </cacheField>
    <cacheField name="Year End" numFmtId="0">
      <sharedItems containsMixedTypes="1" containsNumber="1" containsInteger="1" minValue="45016" maxValue="45016" count="4">
        <s v="31-Dec"/>
        <s v="31-Mar"/>
        <s v="30-Jun"/>
        <n v="45016" u="1"/>
      </sharedItems>
    </cacheField>
    <cacheField name="Status 1" numFmtId="0">
      <sharedItems count="9">
        <s v="Step 9"/>
        <s v="Step 5"/>
        <s v="Step 7"/>
        <s v="Step 4"/>
        <s v="Step 6"/>
        <s v="Step 3"/>
        <s v="Step 8"/>
        <s v="Step 1"/>
        <s v="Step 2"/>
      </sharedItems>
    </cacheField>
    <cacheField name="Status 2" numFmtId="0">
      <sharedItems count="9">
        <s v="Step 7"/>
        <s v="Step 1"/>
        <s v="Step 9"/>
        <s v="Step 8"/>
        <s v="Step 6"/>
        <s v="Step 5"/>
        <s v="Step 2"/>
        <s v="Step 3"/>
        <s v="Step 4"/>
      </sharedItems>
    </cacheField>
    <cacheField name="Status 3" numFmtId="0">
      <sharedItems count="9">
        <s v="Step 8"/>
        <s v="Step 2"/>
        <s v="Step 7"/>
        <s v="Step 3"/>
        <s v="Step 6"/>
        <s v="Step 9"/>
        <s v="Step 1"/>
        <s v="Step 5"/>
        <s v="Step 4"/>
      </sharedItems>
    </cacheField>
    <cacheField name="Start Month" numFmtId="0">
      <sharedItems/>
    </cacheField>
    <cacheField name="End Month" numFmtId="0">
      <sharedItems/>
    </cacheField>
    <cacheField name="ERP" numFmtId="0">
      <sharedItems containsBlank="1" count="32">
        <s v="HeliumV"/>
        <s v="iDempiere"/>
        <s v="LedgerSMB"/>
        <s v="Epesi"/>
        <s v="intarS"/>
        <s v="Apache OFBiz"/>
        <s v="metasfresh"/>
        <s v="Adaxa Suite"/>
        <s v="Odoo"/>
        <s v="ERP5"/>
        <s v="Adempiere"/>
        <s v="ERPNext"/>
        <s v="Dolibarr"/>
        <s v="inoERP"/>
        <s v="SQL-Ledger"/>
        <s v="Compiere"/>
        <s v="Kuali"/>
        <s v="Tryton"/>
        <s v="SplendidCRM"/>
        <m u="1"/>
        <s v="ACCPAC " u="1"/>
        <s v="CBS" u="1"/>
        <s v="SAP" u="1"/>
        <s v="Xpedeon" u="1"/>
        <s v="Tally" u="1"/>
        <s v="SAP Hana" u="1"/>
        <s v="Self Developed" u="1"/>
        <s v="MS Dynamics" u="1"/>
        <s v="Multiple" u="1"/>
        <s v="Oracle" u="1"/>
        <s v="LN ERP" u="1"/>
        <s v="Tally,ShawMan" u="1"/>
      </sharedItems>
    </cacheField>
    <cacheField name="Comments" numFmtId="0">
      <sharedItems containsNonDate="0" containsBlank="1" count="44">
        <m/>
        <s v="Jt Audit - MSKA" u="1"/>
        <s v="Jt Audit - GMCo , Kikc-off call to be Scheduled" u="1"/>
        <s v="Only ITGC to be performed " u="1"/>
        <s v="Jt Audit - Khimji Kuvarji (Kushal Khona - 98202 06800" u="1"/>
        <s v="Jt Audit - S&amp;S" u="1"/>
        <s v="User samples for SAP and AD access details is been sent " u="1"/>
        <s v="Client has indicated that they willl take time as there are ongoing projects to improve IT Infra" u="1"/>
        <s v="Controls for inventory to be verified" u="1"/>
        <s v="Non ICOFAR" u="1"/>
        <s v="Kick-off Meeting with Client and Shelly held on Dec13,2022_x000a_UTE, MOM and PBC List shared with JB" u="1"/>
        <s v="No ITGC Required" u="1"/>
        <s v="Check with client in Jan for finalization of ERP" u="1"/>
        <s v="Jt Audit - New / Incident" u="1"/>
        <s v="Need to be confirmed by peshotan sir regarding whether this year is client or not" u="1"/>
        <s v="UTE-IT minutes shared with client for updation and Call for initial kickoff discussion request sent by Faiyaz. Client to respond._x000a_First follow-up mail sent to client (Mahesh Soni) on Dec 8, 2022. " u="1"/>
        <s v="To commence last week Dec / First week of Jan_x000a_Client has reverted to Shellys request byasking to keep the audit in the week starting Dec12th as they are tied up in year-end closing." u="1"/>
        <s v="Jt Audit - KS Iyer" u="1"/>
        <s v="ITGC Request List discussed with client. Client has shared information which is being evaluated at present." u="1"/>
        <s v="Not a client this year" u="1"/>
        <s v="ITGC Request List discussed with client. Client will share evidence post 2 weeks." u="1"/>
        <s v="To commence last week Dec / First week of Jan" u="1"/>
        <s v="No IT team, Maintained globallly from Dubai. Office in Mumbai also" u="1"/>
        <s v="ITGC Request List request list discussed with client in kickoff meeting December 2, 2022." u="1"/>
        <s v="Jt Audit - Cy Sec Report " u="1"/>
        <s v="Jt Audit - NB Shetty" u="1"/>
        <s v="Merged with oracle India P. Ltd." u="1"/>
        <s v="Data Migration (May22)" u="1"/>
        <s v="ICOFR applicatible " u="1"/>
        <s v="User samples for orion and AD access details is been sent" u="1"/>
        <s v="UTE-IT minutes shared with client for updation and Call for initial kickoff discussion request sent by Faiyaz. Client to respond." u="1"/>
        <s v="Cartography section in UTE document is pending" u="1"/>
        <s v="No ITGC" u="1"/>
        <s v="ITGC Request List request list shared with client awaiting inputs" u="1"/>
        <s v="Kick-off Meeting with Client and Shelly held on Dec13,2022" u="1"/>
        <s v="Application Scoping in Progress" u="1"/>
        <s v="ITGC Request List discussed with client. Client will share evidence." u="1"/>
        <s v="ITGC Request List discussed with client. Logical access listing workings have begun." u="1"/>
        <s v="Ltd ITGC" u="1"/>
        <s v="Jt Audit - GMCo" u="1"/>
        <s v="New / Incident" u="1"/>
        <s v="May shift to Avinash Rao" u="1"/>
        <s v="Jt Audit - KS Iyer_x000a_Cartography section in UTE document is pending " u="1"/>
        <s v="New / Ambivali" u="1"/>
      </sharedItems>
    </cacheField>
    <cacheField name="Status" numFmtId="0">
      <sharedItems count="4">
        <s v="Work In Progress"/>
        <s v="Not commenced"/>
        <s v="Completed"/>
        <s v="Not Applicable"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
  <r>
    <n v="1"/>
    <x v="0"/>
    <x v="0"/>
    <x v="0"/>
    <x v="0"/>
    <x v="0"/>
    <x v="0"/>
    <x v="0"/>
    <x v="0"/>
    <x v="0"/>
    <x v="0"/>
    <s v="May-23"/>
    <s v="Jul-23"/>
    <x v="0"/>
    <x v="0"/>
    <x v="0"/>
  </r>
  <r>
    <n v="2"/>
    <x v="1"/>
    <x v="0"/>
    <x v="0"/>
    <x v="0"/>
    <x v="1"/>
    <x v="1"/>
    <x v="0"/>
    <x v="1"/>
    <x v="1"/>
    <x v="1"/>
    <s v="Jun-23"/>
    <s v="Aug-23"/>
    <x v="1"/>
    <x v="0"/>
    <x v="0"/>
  </r>
  <r>
    <n v="3"/>
    <x v="2"/>
    <x v="0"/>
    <x v="1"/>
    <x v="0"/>
    <x v="1"/>
    <x v="1"/>
    <x v="1"/>
    <x v="2"/>
    <x v="2"/>
    <x v="2"/>
    <s v="Jun-23"/>
    <s v="Aug-23"/>
    <x v="2"/>
    <x v="0"/>
    <x v="0"/>
  </r>
  <r>
    <n v="4"/>
    <x v="3"/>
    <x v="0"/>
    <x v="2"/>
    <x v="0"/>
    <x v="2"/>
    <x v="2"/>
    <x v="1"/>
    <x v="3"/>
    <x v="2"/>
    <x v="1"/>
    <s v="Oct-22"/>
    <s v="Mar-23"/>
    <x v="3"/>
    <x v="0"/>
    <x v="0"/>
  </r>
  <r>
    <n v="5"/>
    <x v="4"/>
    <x v="0"/>
    <x v="1"/>
    <x v="0"/>
    <x v="0"/>
    <x v="3"/>
    <x v="1"/>
    <x v="4"/>
    <x v="3"/>
    <x v="3"/>
    <s v="Jan-23"/>
    <s v="Mar-23"/>
    <x v="4"/>
    <x v="0"/>
    <x v="0"/>
  </r>
  <r>
    <n v="6"/>
    <x v="5"/>
    <x v="0"/>
    <x v="1"/>
    <x v="0"/>
    <x v="0"/>
    <x v="3"/>
    <x v="1"/>
    <x v="5"/>
    <x v="4"/>
    <x v="2"/>
    <s v="Jan-23"/>
    <s v="Mar-23"/>
    <x v="5"/>
    <x v="0"/>
    <x v="0"/>
  </r>
  <r>
    <n v="7"/>
    <x v="6"/>
    <x v="0"/>
    <x v="1"/>
    <x v="0"/>
    <x v="1"/>
    <x v="1"/>
    <x v="1"/>
    <x v="5"/>
    <x v="1"/>
    <x v="0"/>
    <s v="Jun-23"/>
    <s v="Aug-23"/>
    <x v="6"/>
    <x v="0"/>
    <x v="0"/>
  </r>
  <r>
    <n v="8"/>
    <x v="7"/>
    <x v="0"/>
    <x v="1"/>
    <x v="0"/>
    <x v="1"/>
    <x v="1"/>
    <x v="0"/>
    <x v="2"/>
    <x v="5"/>
    <x v="0"/>
    <s v="Jun-23"/>
    <s v="Aug-23"/>
    <x v="7"/>
    <x v="0"/>
    <x v="0"/>
  </r>
  <r>
    <n v="9"/>
    <x v="8"/>
    <x v="0"/>
    <x v="1"/>
    <x v="0"/>
    <x v="0"/>
    <x v="3"/>
    <x v="1"/>
    <x v="0"/>
    <x v="0"/>
    <x v="4"/>
    <s v="Jan-23"/>
    <s v="Mar-23"/>
    <x v="1"/>
    <x v="0"/>
    <x v="0"/>
  </r>
  <r>
    <n v="10"/>
    <x v="9"/>
    <x v="0"/>
    <x v="1"/>
    <x v="0"/>
    <x v="0"/>
    <x v="3"/>
    <x v="1"/>
    <x v="6"/>
    <x v="1"/>
    <x v="2"/>
    <s v="Jan-23"/>
    <s v="Mar-23"/>
    <x v="7"/>
    <x v="0"/>
    <x v="0"/>
  </r>
  <r>
    <n v="11"/>
    <x v="10"/>
    <x v="0"/>
    <x v="1"/>
    <x v="0"/>
    <x v="0"/>
    <x v="3"/>
    <x v="1"/>
    <x v="3"/>
    <x v="1"/>
    <x v="0"/>
    <s v="Jan-23"/>
    <s v="Mar-23"/>
    <x v="7"/>
    <x v="0"/>
    <x v="0"/>
  </r>
  <r>
    <n v="12"/>
    <x v="11"/>
    <x v="0"/>
    <x v="1"/>
    <x v="0"/>
    <x v="0"/>
    <x v="3"/>
    <x v="1"/>
    <x v="0"/>
    <x v="3"/>
    <x v="3"/>
    <s v="Jan-23"/>
    <s v="Mar-23"/>
    <x v="8"/>
    <x v="0"/>
    <x v="0"/>
  </r>
  <r>
    <n v="13"/>
    <x v="12"/>
    <x v="0"/>
    <x v="0"/>
    <x v="0"/>
    <x v="1"/>
    <x v="1"/>
    <x v="1"/>
    <x v="7"/>
    <x v="5"/>
    <x v="2"/>
    <s v="Jun-23"/>
    <s v="Aug-23"/>
    <x v="1"/>
    <x v="0"/>
    <x v="0"/>
  </r>
  <r>
    <n v="14"/>
    <x v="13"/>
    <x v="0"/>
    <x v="2"/>
    <x v="0"/>
    <x v="2"/>
    <x v="2"/>
    <x v="1"/>
    <x v="1"/>
    <x v="1"/>
    <x v="4"/>
    <s v="Oct-22"/>
    <s v="Mar-23"/>
    <x v="9"/>
    <x v="0"/>
    <x v="0"/>
  </r>
  <r>
    <n v="15"/>
    <x v="14"/>
    <x v="0"/>
    <x v="0"/>
    <x v="1"/>
    <x v="2"/>
    <x v="4"/>
    <x v="1"/>
    <x v="0"/>
    <x v="0"/>
    <x v="3"/>
    <s v="Oct-22"/>
    <s v="Mar-23"/>
    <x v="9"/>
    <x v="0"/>
    <x v="0"/>
  </r>
  <r>
    <n v="16"/>
    <x v="15"/>
    <x v="0"/>
    <x v="0"/>
    <x v="1"/>
    <x v="0"/>
    <x v="3"/>
    <x v="1"/>
    <x v="4"/>
    <x v="0"/>
    <x v="5"/>
    <s v="Jan-23"/>
    <s v="Mar-23"/>
    <x v="10"/>
    <x v="0"/>
    <x v="0"/>
  </r>
  <r>
    <n v="17"/>
    <x v="16"/>
    <x v="0"/>
    <x v="0"/>
    <x v="1"/>
    <x v="0"/>
    <x v="3"/>
    <x v="1"/>
    <x v="5"/>
    <x v="0"/>
    <x v="3"/>
    <s v="Jan-23"/>
    <s v="Mar-23"/>
    <x v="2"/>
    <x v="0"/>
    <x v="0"/>
  </r>
  <r>
    <n v="18"/>
    <x v="17"/>
    <x v="0"/>
    <x v="0"/>
    <x v="1"/>
    <x v="0"/>
    <x v="3"/>
    <x v="1"/>
    <x v="7"/>
    <x v="6"/>
    <x v="5"/>
    <s v="Jan-23"/>
    <s v="Mar-23"/>
    <x v="9"/>
    <x v="0"/>
    <x v="0"/>
  </r>
  <r>
    <n v="19"/>
    <x v="18"/>
    <x v="0"/>
    <x v="1"/>
    <x v="1"/>
    <x v="0"/>
    <x v="0"/>
    <x v="1"/>
    <x v="0"/>
    <x v="4"/>
    <x v="6"/>
    <s v="May-23"/>
    <s v="Jul-23"/>
    <x v="4"/>
    <x v="0"/>
    <x v="0"/>
  </r>
  <r>
    <n v="20"/>
    <x v="19"/>
    <x v="0"/>
    <x v="0"/>
    <x v="1"/>
    <x v="1"/>
    <x v="1"/>
    <x v="1"/>
    <x v="4"/>
    <x v="5"/>
    <x v="7"/>
    <s v="Jun-23"/>
    <s v="Aug-23"/>
    <x v="1"/>
    <x v="0"/>
    <x v="0"/>
  </r>
  <r>
    <n v="21"/>
    <x v="20"/>
    <x v="0"/>
    <x v="1"/>
    <x v="1"/>
    <x v="1"/>
    <x v="1"/>
    <x v="1"/>
    <x v="6"/>
    <x v="0"/>
    <x v="7"/>
    <s v="Jun-23"/>
    <s v="Aug-23"/>
    <x v="0"/>
    <x v="0"/>
    <x v="0"/>
  </r>
  <r>
    <n v="22"/>
    <x v="21"/>
    <x v="0"/>
    <x v="1"/>
    <x v="1"/>
    <x v="0"/>
    <x v="0"/>
    <x v="1"/>
    <x v="3"/>
    <x v="5"/>
    <x v="3"/>
    <s v="Jun-23"/>
    <s v="Aug-23"/>
    <x v="11"/>
    <x v="0"/>
    <x v="0"/>
  </r>
  <r>
    <n v="23"/>
    <x v="22"/>
    <x v="0"/>
    <x v="1"/>
    <x v="1"/>
    <x v="0"/>
    <x v="3"/>
    <x v="1"/>
    <x v="6"/>
    <x v="3"/>
    <x v="7"/>
    <s v="Jan-23"/>
    <s v="Mar-23"/>
    <x v="12"/>
    <x v="0"/>
    <x v="0"/>
  </r>
  <r>
    <n v="24"/>
    <x v="23"/>
    <x v="0"/>
    <x v="1"/>
    <x v="1"/>
    <x v="0"/>
    <x v="3"/>
    <x v="1"/>
    <x v="2"/>
    <x v="7"/>
    <x v="0"/>
    <s v="Jan-23"/>
    <s v="Mar-23"/>
    <x v="4"/>
    <x v="0"/>
    <x v="0"/>
  </r>
  <r>
    <n v="25"/>
    <x v="24"/>
    <x v="0"/>
    <x v="1"/>
    <x v="1"/>
    <x v="0"/>
    <x v="3"/>
    <x v="0"/>
    <x v="8"/>
    <x v="5"/>
    <x v="5"/>
    <s v="Jan-23"/>
    <s v="Mar-23"/>
    <x v="11"/>
    <x v="0"/>
    <x v="0"/>
  </r>
  <r>
    <n v="26"/>
    <x v="25"/>
    <x v="0"/>
    <x v="1"/>
    <x v="1"/>
    <x v="0"/>
    <x v="3"/>
    <x v="0"/>
    <x v="7"/>
    <x v="8"/>
    <x v="3"/>
    <s v="Jan-23"/>
    <s v="Mar-23"/>
    <x v="7"/>
    <x v="0"/>
    <x v="0"/>
  </r>
  <r>
    <n v="27"/>
    <x v="26"/>
    <x v="0"/>
    <x v="1"/>
    <x v="1"/>
    <x v="0"/>
    <x v="3"/>
    <x v="0"/>
    <x v="7"/>
    <x v="7"/>
    <x v="0"/>
    <s v="Jan-23"/>
    <s v="Mar-23"/>
    <x v="13"/>
    <x v="0"/>
    <x v="0"/>
  </r>
  <r>
    <n v="28"/>
    <x v="27"/>
    <x v="0"/>
    <x v="0"/>
    <x v="1"/>
    <x v="0"/>
    <x v="3"/>
    <x v="1"/>
    <x v="0"/>
    <x v="8"/>
    <x v="5"/>
    <s v="Jan-23"/>
    <s v="Mar-23"/>
    <x v="6"/>
    <x v="0"/>
    <x v="0"/>
  </r>
  <r>
    <n v="29"/>
    <x v="28"/>
    <x v="1"/>
    <x v="1"/>
    <x v="2"/>
    <x v="1"/>
    <x v="0"/>
    <x v="0"/>
    <x v="3"/>
    <x v="6"/>
    <x v="6"/>
    <s v="Apr-22"/>
    <s v="Mar-23"/>
    <x v="8"/>
    <x v="0"/>
    <x v="0"/>
  </r>
  <r>
    <n v="30"/>
    <x v="29"/>
    <x v="1"/>
    <x v="1"/>
    <x v="3"/>
    <x v="1"/>
    <x v="0"/>
    <x v="1"/>
    <x v="1"/>
    <x v="2"/>
    <x v="4"/>
    <s v="Apr-22"/>
    <s v="Mar-23"/>
    <x v="1"/>
    <x v="0"/>
    <x v="0"/>
  </r>
  <r>
    <n v="31"/>
    <x v="30"/>
    <x v="1"/>
    <x v="1"/>
    <x v="2"/>
    <x v="2"/>
    <x v="2"/>
    <x v="0"/>
    <x v="0"/>
    <x v="6"/>
    <x v="1"/>
    <s v="Oct-22"/>
    <s v="Mar-23"/>
    <x v="9"/>
    <x v="0"/>
    <x v="0"/>
  </r>
  <r>
    <n v="32"/>
    <x v="31"/>
    <x v="1"/>
    <x v="1"/>
    <x v="3"/>
    <x v="1"/>
    <x v="0"/>
    <x v="1"/>
    <x v="7"/>
    <x v="5"/>
    <x v="5"/>
    <s v="Apr-22"/>
    <s v="Mar-23"/>
    <x v="0"/>
    <x v="0"/>
    <x v="0"/>
  </r>
  <r>
    <n v="33"/>
    <x v="32"/>
    <x v="1"/>
    <x v="1"/>
    <x v="3"/>
    <x v="1"/>
    <x v="0"/>
    <x v="1"/>
    <x v="8"/>
    <x v="6"/>
    <x v="1"/>
    <s v="Apr-22"/>
    <s v="Mar-23"/>
    <x v="10"/>
    <x v="0"/>
    <x v="1"/>
  </r>
  <r>
    <n v="34"/>
    <x v="33"/>
    <x v="1"/>
    <x v="1"/>
    <x v="2"/>
    <x v="1"/>
    <x v="1"/>
    <x v="1"/>
    <x v="7"/>
    <x v="5"/>
    <x v="5"/>
    <s v="Apr-22"/>
    <s v="Jun-23"/>
    <x v="12"/>
    <x v="0"/>
    <x v="0"/>
  </r>
  <r>
    <n v="35"/>
    <x v="34"/>
    <x v="1"/>
    <x v="1"/>
    <x v="2"/>
    <x v="0"/>
    <x v="0"/>
    <x v="1"/>
    <x v="0"/>
    <x v="1"/>
    <x v="3"/>
    <s v="Jan-23"/>
    <s v="Mar-23"/>
    <x v="14"/>
    <x v="0"/>
    <x v="0"/>
  </r>
  <r>
    <n v="36"/>
    <x v="35"/>
    <x v="1"/>
    <x v="1"/>
    <x v="3"/>
    <x v="1"/>
    <x v="0"/>
    <x v="1"/>
    <x v="7"/>
    <x v="8"/>
    <x v="6"/>
    <s v="Apr-22"/>
    <s v="Mar-23"/>
    <x v="7"/>
    <x v="0"/>
    <x v="0"/>
  </r>
  <r>
    <n v="37"/>
    <x v="36"/>
    <x v="1"/>
    <x v="1"/>
    <x v="2"/>
    <x v="1"/>
    <x v="0"/>
    <x v="1"/>
    <x v="0"/>
    <x v="8"/>
    <x v="5"/>
    <s v="Apr-22"/>
    <s v="Mar-23"/>
    <x v="15"/>
    <x v="0"/>
    <x v="0"/>
  </r>
  <r>
    <n v="38"/>
    <x v="37"/>
    <x v="1"/>
    <x v="1"/>
    <x v="2"/>
    <x v="1"/>
    <x v="0"/>
    <x v="1"/>
    <x v="7"/>
    <x v="1"/>
    <x v="1"/>
    <s v="Apr-22"/>
    <s v="Mar-23"/>
    <x v="5"/>
    <x v="0"/>
    <x v="1"/>
  </r>
  <r>
    <n v="39"/>
    <x v="38"/>
    <x v="1"/>
    <x v="1"/>
    <x v="2"/>
    <x v="0"/>
    <x v="3"/>
    <x v="1"/>
    <x v="8"/>
    <x v="2"/>
    <x v="2"/>
    <s v="Dec-22"/>
    <s v="Mar-23"/>
    <x v="0"/>
    <x v="0"/>
    <x v="0"/>
  </r>
  <r>
    <n v="40"/>
    <x v="39"/>
    <x v="2"/>
    <x v="0"/>
    <x v="4"/>
    <x v="0"/>
    <x v="3"/>
    <x v="0"/>
    <x v="0"/>
    <x v="4"/>
    <x v="3"/>
    <s v="Oct-22"/>
    <s v="Dec-22"/>
    <x v="13"/>
    <x v="0"/>
    <x v="0"/>
  </r>
  <r>
    <n v="41"/>
    <x v="40"/>
    <x v="2"/>
    <x v="0"/>
    <x v="4"/>
    <x v="0"/>
    <x v="3"/>
    <x v="0"/>
    <x v="2"/>
    <x v="6"/>
    <x v="1"/>
    <s v="Oct-22"/>
    <s v="Dec-22"/>
    <x v="10"/>
    <x v="0"/>
    <x v="0"/>
  </r>
  <r>
    <n v="42"/>
    <x v="41"/>
    <x v="2"/>
    <x v="0"/>
    <x v="4"/>
    <x v="0"/>
    <x v="3"/>
    <x v="0"/>
    <x v="4"/>
    <x v="1"/>
    <x v="1"/>
    <s v="Oct-22"/>
    <s v="Dec-22"/>
    <x v="16"/>
    <x v="0"/>
    <x v="0"/>
  </r>
  <r>
    <n v="43"/>
    <x v="42"/>
    <x v="2"/>
    <x v="0"/>
    <x v="4"/>
    <x v="0"/>
    <x v="3"/>
    <x v="0"/>
    <x v="0"/>
    <x v="4"/>
    <x v="7"/>
    <s v="Oct-22"/>
    <s v="Dec-22"/>
    <x v="3"/>
    <x v="0"/>
    <x v="0"/>
  </r>
  <r>
    <n v="44"/>
    <x v="43"/>
    <x v="2"/>
    <x v="0"/>
    <x v="4"/>
    <x v="0"/>
    <x v="3"/>
    <x v="0"/>
    <x v="2"/>
    <x v="5"/>
    <x v="2"/>
    <s v="Oct-22"/>
    <s v="Dec-22"/>
    <x v="8"/>
    <x v="0"/>
    <x v="0"/>
  </r>
  <r>
    <n v="45"/>
    <x v="44"/>
    <x v="3"/>
    <x v="0"/>
    <x v="5"/>
    <x v="0"/>
    <x v="3"/>
    <x v="0"/>
    <x v="0"/>
    <x v="5"/>
    <x v="3"/>
    <s v="Oct-22"/>
    <s v="Dec-22"/>
    <x v="7"/>
    <x v="0"/>
    <x v="0"/>
  </r>
  <r>
    <n v="46"/>
    <x v="45"/>
    <x v="2"/>
    <x v="3"/>
    <x v="4"/>
    <x v="1"/>
    <x v="0"/>
    <x v="0"/>
    <x v="5"/>
    <x v="0"/>
    <x v="7"/>
    <s v="Oct-22"/>
    <s v="Dec-22"/>
    <x v="4"/>
    <x v="0"/>
    <x v="0"/>
  </r>
  <r>
    <n v="47"/>
    <x v="46"/>
    <x v="2"/>
    <x v="3"/>
    <x v="4"/>
    <x v="1"/>
    <x v="0"/>
    <x v="1"/>
    <x v="5"/>
    <x v="2"/>
    <x v="8"/>
    <s v="Jan-23"/>
    <s v="Mar-23"/>
    <x v="8"/>
    <x v="0"/>
    <x v="0"/>
  </r>
  <r>
    <n v="48"/>
    <x v="47"/>
    <x v="2"/>
    <x v="3"/>
    <x v="4"/>
    <x v="1"/>
    <x v="0"/>
    <x v="1"/>
    <x v="5"/>
    <x v="4"/>
    <x v="5"/>
    <s v="Jan-23"/>
    <s v="Mar-23"/>
    <x v="6"/>
    <x v="0"/>
    <x v="0"/>
  </r>
  <r>
    <n v="49"/>
    <x v="48"/>
    <x v="2"/>
    <x v="3"/>
    <x v="4"/>
    <x v="2"/>
    <x v="4"/>
    <x v="1"/>
    <x v="4"/>
    <x v="4"/>
    <x v="0"/>
    <s v="Jan-23"/>
    <s v="Mar-23"/>
    <x v="14"/>
    <x v="0"/>
    <x v="0"/>
  </r>
  <r>
    <n v="50"/>
    <x v="49"/>
    <x v="4"/>
    <x v="4"/>
    <x v="6"/>
    <x v="2"/>
    <x v="4"/>
    <x v="1"/>
    <x v="4"/>
    <x v="6"/>
    <x v="1"/>
    <s v="Jan-23"/>
    <s v="May-23"/>
    <x v="5"/>
    <x v="0"/>
    <x v="0"/>
  </r>
  <r>
    <n v="51"/>
    <x v="50"/>
    <x v="4"/>
    <x v="4"/>
    <x v="6"/>
    <x v="2"/>
    <x v="2"/>
    <x v="1"/>
    <x v="6"/>
    <x v="1"/>
    <x v="3"/>
    <s v="Oct-22"/>
    <s v="Mar-23"/>
    <x v="14"/>
    <x v="0"/>
    <x v="0"/>
  </r>
  <r>
    <n v="52"/>
    <x v="51"/>
    <x v="4"/>
    <x v="4"/>
    <x v="6"/>
    <x v="2"/>
    <x v="5"/>
    <x v="1"/>
    <x v="7"/>
    <x v="5"/>
    <x v="6"/>
    <s v="Nov-22"/>
    <s v="Mar-23"/>
    <x v="12"/>
    <x v="0"/>
    <x v="0"/>
  </r>
  <r>
    <n v="53"/>
    <x v="52"/>
    <x v="4"/>
    <x v="2"/>
    <x v="6"/>
    <x v="2"/>
    <x v="4"/>
    <x v="2"/>
    <x v="6"/>
    <x v="6"/>
    <x v="1"/>
    <s v="Apr-23"/>
    <s v="May-23"/>
    <x v="9"/>
    <x v="0"/>
    <x v="0"/>
  </r>
  <r>
    <n v="54"/>
    <x v="53"/>
    <x v="4"/>
    <x v="2"/>
    <x v="6"/>
    <x v="2"/>
    <x v="4"/>
    <x v="1"/>
    <x v="2"/>
    <x v="7"/>
    <x v="3"/>
    <s v="Apr-23"/>
    <s v="May-23"/>
    <x v="5"/>
    <x v="0"/>
    <x v="0"/>
  </r>
  <r>
    <n v="55"/>
    <x v="54"/>
    <x v="4"/>
    <x v="4"/>
    <x v="6"/>
    <x v="2"/>
    <x v="4"/>
    <x v="1"/>
    <x v="8"/>
    <x v="5"/>
    <x v="1"/>
    <s v="Oct-22"/>
    <s v="May-23"/>
    <x v="1"/>
    <x v="0"/>
    <x v="0"/>
  </r>
  <r>
    <n v="56"/>
    <x v="55"/>
    <x v="4"/>
    <x v="2"/>
    <x v="6"/>
    <x v="1"/>
    <x v="1"/>
    <x v="1"/>
    <x v="6"/>
    <x v="5"/>
    <x v="8"/>
    <s v="Jan-23"/>
    <s v="Jun-23"/>
    <x v="8"/>
    <x v="0"/>
    <x v="0"/>
  </r>
  <r>
    <n v="57"/>
    <x v="56"/>
    <x v="4"/>
    <x v="2"/>
    <x v="6"/>
    <x v="2"/>
    <x v="5"/>
    <x v="1"/>
    <x v="2"/>
    <x v="0"/>
    <x v="6"/>
    <s v="Nov-22"/>
    <s v="May-23"/>
    <x v="7"/>
    <x v="0"/>
    <x v="0"/>
  </r>
  <r>
    <n v="58"/>
    <x v="57"/>
    <x v="4"/>
    <x v="2"/>
    <x v="6"/>
    <x v="2"/>
    <x v="5"/>
    <x v="1"/>
    <x v="5"/>
    <x v="7"/>
    <x v="4"/>
    <s v="Dec-22"/>
    <s v="Mar-23"/>
    <x v="0"/>
    <x v="0"/>
    <x v="0"/>
  </r>
  <r>
    <n v="59"/>
    <x v="58"/>
    <x v="5"/>
    <x v="5"/>
    <x v="7"/>
    <x v="1"/>
    <x v="1"/>
    <x v="1"/>
    <x v="7"/>
    <x v="2"/>
    <x v="1"/>
    <s v="Apr-22"/>
    <s v="Jun-23"/>
    <x v="11"/>
    <x v="0"/>
    <x v="0"/>
  </r>
  <r>
    <n v="60"/>
    <x v="59"/>
    <x v="5"/>
    <x v="5"/>
    <x v="7"/>
    <x v="2"/>
    <x v="5"/>
    <x v="1"/>
    <x v="5"/>
    <x v="4"/>
    <x v="8"/>
    <s v="Oct-22"/>
    <s v="Mar-23"/>
    <x v="15"/>
    <x v="0"/>
    <x v="0"/>
  </r>
  <r>
    <n v="61"/>
    <x v="60"/>
    <x v="5"/>
    <x v="6"/>
    <x v="7"/>
    <x v="2"/>
    <x v="4"/>
    <x v="1"/>
    <x v="8"/>
    <x v="8"/>
    <x v="1"/>
    <s v="Jan-23"/>
    <s v="Mar-23"/>
    <x v="2"/>
    <x v="0"/>
    <x v="0"/>
  </r>
  <r>
    <n v="62"/>
    <x v="61"/>
    <x v="5"/>
    <x v="5"/>
    <x v="7"/>
    <x v="2"/>
    <x v="5"/>
    <x v="1"/>
    <x v="4"/>
    <x v="0"/>
    <x v="2"/>
    <s v="Oct-22"/>
    <s v="Mar-23"/>
    <x v="4"/>
    <x v="0"/>
    <x v="0"/>
  </r>
  <r>
    <n v="63"/>
    <x v="62"/>
    <x v="5"/>
    <x v="5"/>
    <x v="7"/>
    <x v="2"/>
    <x v="4"/>
    <x v="0"/>
    <x v="8"/>
    <x v="7"/>
    <x v="8"/>
    <s v="Oct-22"/>
    <s v="Mar-23"/>
    <x v="7"/>
    <x v="0"/>
    <x v="0"/>
  </r>
  <r>
    <n v="64"/>
    <x v="63"/>
    <x v="5"/>
    <x v="5"/>
    <x v="7"/>
    <x v="2"/>
    <x v="4"/>
    <x v="1"/>
    <x v="0"/>
    <x v="2"/>
    <x v="1"/>
    <s v="Jan-23"/>
    <s v="Mar-23"/>
    <x v="17"/>
    <x v="0"/>
    <x v="0"/>
  </r>
  <r>
    <n v="65"/>
    <x v="64"/>
    <x v="5"/>
    <x v="5"/>
    <x v="7"/>
    <x v="2"/>
    <x v="4"/>
    <x v="0"/>
    <x v="1"/>
    <x v="1"/>
    <x v="6"/>
    <s v="Oct-22"/>
    <s v="Mar-23"/>
    <x v="8"/>
    <x v="0"/>
    <x v="0"/>
  </r>
  <r>
    <n v="66"/>
    <x v="65"/>
    <x v="5"/>
    <x v="5"/>
    <x v="7"/>
    <x v="2"/>
    <x v="5"/>
    <x v="1"/>
    <x v="6"/>
    <x v="7"/>
    <x v="6"/>
    <s v="Oct-22"/>
    <s v="Mar-23"/>
    <x v="17"/>
    <x v="0"/>
    <x v="0"/>
  </r>
  <r>
    <n v="67"/>
    <x v="66"/>
    <x v="5"/>
    <x v="6"/>
    <x v="7"/>
    <x v="0"/>
    <x v="3"/>
    <x v="0"/>
    <x v="3"/>
    <x v="0"/>
    <x v="0"/>
    <s v="Dec-22"/>
    <s v="Mar-23"/>
    <x v="7"/>
    <x v="0"/>
    <x v="0"/>
  </r>
  <r>
    <n v="68"/>
    <x v="67"/>
    <x v="5"/>
    <x v="6"/>
    <x v="7"/>
    <x v="0"/>
    <x v="3"/>
    <x v="0"/>
    <x v="7"/>
    <x v="2"/>
    <x v="5"/>
    <s v="Dec-22"/>
    <s v="Mar-23"/>
    <x v="13"/>
    <x v="0"/>
    <x v="2"/>
  </r>
  <r>
    <n v="69"/>
    <x v="68"/>
    <x v="5"/>
    <x v="6"/>
    <x v="7"/>
    <x v="1"/>
    <x v="1"/>
    <x v="1"/>
    <x v="1"/>
    <x v="7"/>
    <x v="2"/>
    <s v="Apr-22"/>
    <s v="Jun-23"/>
    <x v="14"/>
    <x v="0"/>
    <x v="0"/>
  </r>
  <r>
    <n v="70"/>
    <x v="69"/>
    <x v="6"/>
    <x v="7"/>
    <x v="8"/>
    <x v="0"/>
    <x v="6"/>
    <x v="1"/>
    <x v="1"/>
    <x v="1"/>
    <x v="2"/>
    <s v="Jan-23"/>
    <s v="Jul-23"/>
    <x v="5"/>
    <x v="0"/>
    <x v="0"/>
  </r>
  <r>
    <n v="71"/>
    <x v="70"/>
    <x v="6"/>
    <x v="2"/>
    <x v="8"/>
    <x v="2"/>
    <x v="2"/>
    <x v="1"/>
    <x v="0"/>
    <x v="4"/>
    <x v="5"/>
    <s v="Oct-22"/>
    <s v="Mar-23"/>
    <x v="2"/>
    <x v="0"/>
    <x v="0"/>
  </r>
  <r>
    <n v="72"/>
    <x v="71"/>
    <x v="6"/>
    <x v="2"/>
    <x v="8"/>
    <x v="1"/>
    <x v="1"/>
    <x v="1"/>
    <x v="0"/>
    <x v="3"/>
    <x v="6"/>
    <s v="Apr-22"/>
    <s v="Jun-23"/>
    <x v="3"/>
    <x v="0"/>
    <x v="0"/>
  </r>
  <r>
    <n v="73"/>
    <x v="72"/>
    <x v="6"/>
    <x v="7"/>
    <x v="8"/>
    <x v="1"/>
    <x v="0"/>
    <x v="1"/>
    <x v="5"/>
    <x v="0"/>
    <x v="2"/>
    <s v="Dec-22"/>
    <s v="Jul-23"/>
    <x v="12"/>
    <x v="0"/>
    <x v="0"/>
  </r>
  <r>
    <n v="74"/>
    <x v="73"/>
    <x v="6"/>
    <x v="8"/>
    <x v="8"/>
    <x v="0"/>
    <x v="0"/>
    <x v="1"/>
    <x v="7"/>
    <x v="1"/>
    <x v="8"/>
    <s v="Dec-22"/>
    <s v="Jul-23"/>
    <x v="0"/>
    <x v="0"/>
    <x v="0"/>
  </r>
  <r>
    <n v="75"/>
    <x v="74"/>
    <x v="6"/>
    <x v="2"/>
    <x v="8"/>
    <x v="2"/>
    <x v="2"/>
    <x v="1"/>
    <x v="4"/>
    <x v="1"/>
    <x v="2"/>
    <s v="Dec-22"/>
    <s v="Mar-23"/>
    <x v="16"/>
    <x v="0"/>
    <x v="0"/>
  </r>
  <r>
    <n v="76"/>
    <x v="75"/>
    <x v="6"/>
    <x v="2"/>
    <x v="8"/>
    <x v="2"/>
    <x v="2"/>
    <x v="1"/>
    <x v="5"/>
    <x v="4"/>
    <x v="5"/>
    <s v="Dec-22"/>
    <s v="Mar-23"/>
    <x v="11"/>
    <x v="0"/>
    <x v="0"/>
  </r>
  <r>
    <n v="77"/>
    <x v="76"/>
    <x v="6"/>
    <x v="2"/>
    <x v="8"/>
    <x v="2"/>
    <x v="4"/>
    <x v="1"/>
    <x v="6"/>
    <x v="8"/>
    <x v="0"/>
    <s v="Dec-22"/>
    <s v="Mar-23"/>
    <x v="4"/>
    <x v="0"/>
    <x v="0"/>
  </r>
  <r>
    <n v="78"/>
    <x v="77"/>
    <x v="6"/>
    <x v="8"/>
    <x v="8"/>
    <x v="2"/>
    <x v="5"/>
    <x v="1"/>
    <x v="0"/>
    <x v="3"/>
    <x v="8"/>
    <s v="Dec-22"/>
    <s v="Mar-23"/>
    <x v="5"/>
    <x v="0"/>
    <x v="0"/>
  </r>
  <r>
    <n v="79"/>
    <x v="78"/>
    <x v="6"/>
    <x v="7"/>
    <x v="8"/>
    <x v="1"/>
    <x v="0"/>
    <x v="1"/>
    <x v="0"/>
    <x v="2"/>
    <x v="1"/>
    <s v="Dec-22"/>
    <s v="Jul-23"/>
    <x v="8"/>
    <x v="0"/>
    <x v="0"/>
  </r>
  <r>
    <n v="80"/>
    <x v="79"/>
    <x v="6"/>
    <x v="8"/>
    <x v="8"/>
    <x v="1"/>
    <x v="0"/>
    <x v="1"/>
    <x v="6"/>
    <x v="1"/>
    <x v="4"/>
    <s v="Dec-22"/>
    <s v="Jul-23"/>
    <x v="8"/>
    <x v="0"/>
    <x v="0"/>
  </r>
  <r>
    <n v="81"/>
    <x v="80"/>
    <x v="6"/>
    <x v="2"/>
    <x v="9"/>
    <x v="2"/>
    <x v="5"/>
    <x v="1"/>
    <x v="1"/>
    <x v="2"/>
    <x v="3"/>
    <s v="Dec-22"/>
    <s v="May-23"/>
    <x v="17"/>
    <x v="0"/>
    <x v="0"/>
  </r>
  <r>
    <n v="82"/>
    <x v="81"/>
    <x v="6"/>
    <x v="7"/>
    <x v="9"/>
    <x v="1"/>
    <x v="1"/>
    <x v="1"/>
    <x v="5"/>
    <x v="2"/>
    <x v="0"/>
    <s v="Jan-23"/>
    <s v="Jul-23"/>
    <x v="17"/>
    <x v="0"/>
    <x v="0"/>
  </r>
  <r>
    <n v="83"/>
    <x v="82"/>
    <x v="6"/>
    <x v="7"/>
    <x v="9"/>
    <x v="1"/>
    <x v="0"/>
    <x v="1"/>
    <x v="4"/>
    <x v="7"/>
    <x v="4"/>
    <s v="Jan-23"/>
    <s v="Jul-23"/>
    <x v="18"/>
    <x v="0"/>
    <x v="0"/>
  </r>
  <r>
    <n v="84"/>
    <x v="83"/>
    <x v="6"/>
    <x v="7"/>
    <x v="9"/>
    <x v="1"/>
    <x v="0"/>
    <x v="1"/>
    <x v="2"/>
    <x v="1"/>
    <x v="0"/>
    <s v="Feb-23"/>
    <s v="Jul-23"/>
    <x v="6"/>
    <x v="0"/>
    <x v="0"/>
  </r>
  <r>
    <n v="85"/>
    <x v="84"/>
    <x v="6"/>
    <x v="8"/>
    <x v="9"/>
    <x v="2"/>
    <x v="2"/>
    <x v="1"/>
    <x v="0"/>
    <x v="2"/>
    <x v="7"/>
    <s v="Dec-22"/>
    <s v="Mar-23"/>
    <x v="11"/>
    <x v="0"/>
    <x v="0"/>
  </r>
  <r>
    <n v="86"/>
    <x v="85"/>
    <x v="6"/>
    <x v="8"/>
    <x v="9"/>
    <x v="2"/>
    <x v="4"/>
    <x v="1"/>
    <x v="5"/>
    <x v="2"/>
    <x v="8"/>
    <s v="Jan-23"/>
    <s v="May-23"/>
    <x v="14"/>
    <x v="0"/>
    <x v="0"/>
  </r>
  <r>
    <n v="87"/>
    <x v="86"/>
    <x v="6"/>
    <x v="8"/>
    <x v="9"/>
    <x v="0"/>
    <x v="0"/>
    <x v="1"/>
    <x v="0"/>
    <x v="3"/>
    <x v="2"/>
    <s v="Dec-22"/>
    <s v="May-23"/>
    <x v="1"/>
    <x v="0"/>
    <x v="0"/>
  </r>
  <r>
    <n v="88"/>
    <x v="87"/>
    <x v="6"/>
    <x v="8"/>
    <x v="9"/>
    <x v="0"/>
    <x v="0"/>
    <x v="1"/>
    <x v="0"/>
    <x v="7"/>
    <x v="5"/>
    <s v="Dec-22"/>
    <s v="May-23"/>
    <x v="5"/>
    <x v="0"/>
    <x v="0"/>
  </r>
  <r>
    <n v="89"/>
    <x v="88"/>
    <x v="6"/>
    <x v="7"/>
    <x v="9"/>
    <x v="0"/>
    <x v="0"/>
    <x v="1"/>
    <x v="2"/>
    <x v="6"/>
    <x v="3"/>
    <s v="Jan-23"/>
    <s v="Jul-23"/>
    <x v="2"/>
    <x v="0"/>
    <x v="0"/>
  </r>
  <r>
    <n v="90"/>
    <x v="89"/>
    <x v="7"/>
    <x v="9"/>
    <x v="10"/>
    <x v="2"/>
    <x v="2"/>
    <x v="1"/>
    <x v="7"/>
    <x v="0"/>
    <x v="1"/>
    <s v="Nov-22"/>
    <s v="Mar-23"/>
    <x v="2"/>
    <x v="0"/>
    <x v="0"/>
  </r>
  <r>
    <n v="91"/>
    <x v="90"/>
    <x v="7"/>
    <x v="9"/>
    <x v="10"/>
    <x v="2"/>
    <x v="2"/>
    <x v="0"/>
    <x v="5"/>
    <x v="2"/>
    <x v="3"/>
    <s v="Oct-22"/>
    <s v="Mar-23"/>
    <x v="12"/>
    <x v="0"/>
    <x v="0"/>
  </r>
  <r>
    <n v="92"/>
    <x v="91"/>
    <x v="7"/>
    <x v="9"/>
    <x v="10"/>
    <x v="2"/>
    <x v="2"/>
    <x v="1"/>
    <x v="8"/>
    <x v="0"/>
    <x v="6"/>
    <s v="Nov-22"/>
    <s v="Mar-23"/>
    <x v="2"/>
    <x v="0"/>
    <x v="0"/>
  </r>
  <r>
    <n v="93"/>
    <x v="92"/>
    <x v="7"/>
    <x v="9"/>
    <x v="10"/>
    <x v="2"/>
    <x v="2"/>
    <x v="1"/>
    <x v="7"/>
    <x v="7"/>
    <x v="6"/>
    <s v="Nov-22"/>
    <s v="Mar-23"/>
    <x v="8"/>
    <x v="0"/>
    <x v="0"/>
  </r>
  <r>
    <n v="94"/>
    <x v="93"/>
    <x v="7"/>
    <x v="9"/>
    <x v="10"/>
    <x v="2"/>
    <x v="2"/>
    <x v="1"/>
    <x v="0"/>
    <x v="3"/>
    <x v="4"/>
    <s v="Oct-22"/>
    <s v="Mar-23"/>
    <x v="18"/>
    <x v="0"/>
    <x v="0"/>
  </r>
  <r>
    <n v="95"/>
    <x v="94"/>
    <x v="7"/>
    <x v="2"/>
    <x v="10"/>
    <x v="0"/>
    <x v="3"/>
    <x v="1"/>
    <x v="4"/>
    <x v="8"/>
    <x v="1"/>
    <s v="Nov-22"/>
    <s v="Mar-23"/>
    <x v="15"/>
    <x v="0"/>
    <x v="0"/>
  </r>
  <r>
    <n v="96"/>
    <x v="95"/>
    <x v="7"/>
    <x v="2"/>
    <x v="10"/>
    <x v="0"/>
    <x v="3"/>
    <x v="2"/>
    <x v="6"/>
    <x v="8"/>
    <x v="6"/>
    <s v="Nov-22"/>
    <s v="Mar-23"/>
    <x v="6"/>
    <x v="0"/>
    <x v="0"/>
  </r>
  <r>
    <n v="97"/>
    <x v="96"/>
    <x v="7"/>
    <x v="9"/>
    <x v="10"/>
    <x v="2"/>
    <x v="2"/>
    <x v="1"/>
    <x v="8"/>
    <x v="5"/>
    <x v="1"/>
    <s v="Nov-22"/>
    <s v="Mar-23"/>
    <x v="4"/>
    <x v="0"/>
    <x v="0"/>
  </r>
  <r>
    <n v="98"/>
    <x v="97"/>
    <x v="7"/>
    <x v="9"/>
    <x v="10"/>
    <x v="2"/>
    <x v="2"/>
    <x v="1"/>
    <x v="6"/>
    <x v="4"/>
    <x v="4"/>
    <s v="Nov-22"/>
    <s v="Mar-23"/>
    <x v="4"/>
    <x v="0"/>
    <x v="0"/>
  </r>
  <r>
    <n v="99"/>
    <x v="98"/>
    <x v="3"/>
    <x v="10"/>
    <x v="5"/>
    <x v="2"/>
    <x v="5"/>
    <x v="1"/>
    <x v="6"/>
    <x v="8"/>
    <x v="4"/>
    <s v="Oct-22"/>
    <s v="Mar-23"/>
    <x v="11"/>
    <x v="0"/>
    <x v="0"/>
  </r>
  <r>
    <n v="100"/>
    <x v="99"/>
    <x v="3"/>
    <x v="10"/>
    <x v="5"/>
    <x v="1"/>
    <x v="1"/>
    <x v="1"/>
    <x v="2"/>
    <x v="7"/>
    <x v="2"/>
    <s v="Jan-23"/>
    <s v="Jun-23"/>
    <x v="8"/>
    <x v="0"/>
    <x v="0"/>
  </r>
  <r>
    <n v="101"/>
    <x v="100"/>
    <x v="3"/>
    <x v="10"/>
    <x v="5"/>
    <x v="2"/>
    <x v="5"/>
    <x v="1"/>
    <x v="6"/>
    <x v="5"/>
    <x v="2"/>
    <s v="Oct-22"/>
    <s v="Mar-23"/>
    <x v="12"/>
    <x v="0"/>
    <x v="0"/>
  </r>
  <r>
    <n v="102"/>
    <x v="101"/>
    <x v="3"/>
    <x v="10"/>
    <x v="5"/>
    <x v="2"/>
    <x v="5"/>
    <x v="1"/>
    <x v="8"/>
    <x v="7"/>
    <x v="5"/>
    <s v="Oct-22"/>
    <s v="Mar-23"/>
    <x v="6"/>
    <x v="0"/>
    <x v="0"/>
  </r>
  <r>
    <n v="103"/>
    <x v="102"/>
    <x v="3"/>
    <x v="10"/>
    <x v="5"/>
    <x v="1"/>
    <x v="0"/>
    <x v="1"/>
    <x v="0"/>
    <x v="8"/>
    <x v="4"/>
    <s v="Oct-22"/>
    <s v="Mar-23"/>
    <x v="7"/>
    <x v="0"/>
    <x v="0"/>
  </r>
  <r>
    <n v="104"/>
    <x v="103"/>
    <x v="3"/>
    <x v="0"/>
    <x v="5"/>
    <x v="0"/>
    <x v="3"/>
    <x v="0"/>
    <x v="3"/>
    <x v="7"/>
    <x v="7"/>
    <s v="Oct-22"/>
    <s v="Jan-23"/>
    <x v="10"/>
    <x v="0"/>
    <x v="0"/>
  </r>
  <r>
    <n v="105"/>
    <x v="104"/>
    <x v="3"/>
    <x v="0"/>
    <x v="5"/>
    <x v="0"/>
    <x v="3"/>
    <x v="0"/>
    <x v="2"/>
    <x v="8"/>
    <x v="4"/>
    <s v="Oct-22"/>
    <s v="Jan-23"/>
    <x v="13"/>
    <x v="0"/>
    <x v="0"/>
  </r>
  <r>
    <n v="106"/>
    <x v="105"/>
    <x v="3"/>
    <x v="0"/>
    <x v="5"/>
    <x v="0"/>
    <x v="3"/>
    <x v="0"/>
    <x v="3"/>
    <x v="6"/>
    <x v="7"/>
    <s v="Oct-22"/>
    <s v="Jan-23"/>
    <x v="9"/>
    <x v="0"/>
    <x v="0"/>
  </r>
  <r>
    <n v="107"/>
    <x v="106"/>
    <x v="3"/>
    <x v="0"/>
    <x v="5"/>
    <x v="0"/>
    <x v="3"/>
    <x v="0"/>
    <x v="5"/>
    <x v="5"/>
    <x v="4"/>
    <s v="Oct-22"/>
    <s v="Jan-23"/>
    <x v="17"/>
    <x v="0"/>
    <x v="0"/>
  </r>
  <r>
    <n v="108"/>
    <x v="107"/>
    <x v="3"/>
    <x v="0"/>
    <x v="5"/>
    <x v="0"/>
    <x v="3"/>
    <x v="0"/>
    <x v="1"/>
    <x v="1"/>
    <x v="8"/>
    <s v="Oct-22"/>
    <s v="Jan-23"/>
    <x v="9"/>
    <x v="0"/>
    <x v="0"/>
  </r>
  <r>
    <n v="109"/>
    <x v="108"/>
    <x v="3"/>
    <x v="0"/>
    <x v="5"/>
    <x v="0"/>
    <x v="3"/>
    <x v="0"/>
    <x v="8"/>
    <x v="0"/>
    <x v="5"/>
    <s v="Oct-22"/>
    <s v="Jan-23"/>
    <x v="5"/>
    <x v="0"/>
    <x v="0"/>
  </r>
  <r>
    <n v="110"/>
    <x v="109"/>
    <x v="3"/>
    <x v="0"/>
    <x v="5"/>
    <x v="1"/>
    <x v="3"/>
    <x v="0"/>
    <x v="2"/>
    <x v="5"/>
    <x v="7"/>
    <s v="Oct-22"/>
    <s v="Jan-23"/>
    <x v="3"/>
    <x v="0"/>
    <x v="0"/>
  </r>
  <r>
    <n v="111"/>
    <x v="110"/>
    <x v="3"/>
    <x v="0"/>
    <x v="5"/>
    <x v="0"/>
    <x v="3"/>
    <x v="0"/>
    <x v="3"/>
    <x v="4"/>
    <x v="0"/>
    <s v="Oct-22"/>
    <s v="Jan-23"/>
    <x v="18"/>
    <x v="0"/>
    <x v="0"/>
  </r>
  <r>
    <n v="112"/>
    <x v="111"/>
    <x v="3"/>
    <x v="0"/>
    <x v="5"/>
    <x v="1"/>
    <x v="3"/>
    <x v="0"/>
    <x v="2"/>
    <x v="2"/>
    <x v="7"/>
    <s v="Oct-22"/>
    <s v="Jan-23"/>
    <x v="5"/>
    <x v="0"/>
    <x v="0"/>
  </r>
  <r>
    <n v="113"/>
    <x v="112"/>
    <x v="3"/>
    <x v="10"/>
    <x v="5"/>
    <x v="1"/>
    <x v="1"/>
    <x v="1"/>
    <x v="0"/>
    <x v="8"/>
    <x v="6"/>
    <s v="Jan-23"/>
    <s v="Jun-23"/>
    <x v="8"/>
    <x v="0"/>
    <x v="0"/>
  </r>
  <r>
    <n v="114"/>
    <x v="113"/>
    <x v="3"/>
    <x v="10"/>
    <x v="5"/>
    <x v="1"/>
    <x v="0"/>
    <x v="1"/>
    <x v="2"/>
    <x v="0"/>
    <x v="4"/>
    <s v="Jan-23"/>
    <s v="Jun-23"/>
    <x v="6"/>
    <x v="0"/>
    <x v="0"/>
  </r>
  <r>
    <n v="115"/>
    <x v="114"/>
    <x v="3"/>
    <x v="10"/>
    <x v="5"/>
    <x v="1"/>
    <x v="1"/>
    <x v="1"/>
    <x v="5"/>
    <x v="3"/>
    <x v="2"/>
    <s v="Jan-23"/>
    <s v="Jun-23"/>
    <x v="6"/>
    <x v="0"/>
    <x v="0"/>
  </r>
  <r>
    <n v="116"/>
    <x v="115"/>
    <x v="3"/>
    <x v="10"/>
    <x v="5"/>
    <x v="1"/>
    <x v="0"/>
    <x v="1"/>
    <x v="0"/>
    <x v="6"/>
    <x v="8"/>
    <s v="Jan-23"/>
    <s v="Jun-23"/>
    <x v="11"/>
    <x v="0"/>
    <x v="0"/>
  </r>
  <r>
    <n v="117"/>
    <x v="116"/>
    <x v="3"/>
    <x v="10"/>
    <x v="5"/>
    <x v="1"/>
    <x v="0"/>
    <x v="1"/>
    <x v="8"/>
    <x v="3"/>
    <x v="7"/>
    <s v="Jan-23"/>
    <s v="Jun-23"/>
    <x v="4"/>
    <x v="0"/>
    <x v="0"/>
  </r>
  <r>
    <n v="118"/>
    <x v="117"/>
    <x v="3"/>
    <x v="10"/>
    <x v="5"/>
    <x v="2"/>
    <x v="2"/>
    <x v="1"/>
    <x v="0"/>
    <x v="6"/>
    <x v="7"/>
    <s v="Jan-23"/>
    <s v="Jun-23"/>
    <x v="14"/>
    <x v="0"/>
    <x v="0"/>
  </r>
  <r>
    <n v="119"/>
    <x v="118"/>
    <x v="3"/>
    <x v="10"/>
    <x v="5"/>
    <x v="1"/>
    <x v="0"/>
    <x v="1"/>
    <x v="0"/>
    <x v="2"/>
    <x v="0"/>
    <s v="Jan-23"/>
    <s v="Jun-23"/>
    <x v="5"/>
    <x v="0"/>
    <x v="0"/>
  </r>
  <r>
    <n v="120"/>
    <x v="119"/>
    <x v="3"/>
    <x v="10"/>
    <x v="5"/>
    <x v="1"/>
    <x v="1"/>
    <x v="0"/>
    <x v="7"/>
    <x v="1"/>
    <x v="3"/>
    <s v="Jan-23"/>
    <s v="Jun-23"/>
    <x v="2"/>
    <x v="0"/>
    <x v="0"/>
  </r>
  <r>
    <n v="121"/>
    <x v="120"/>
    <x v="3"/>
    <x v="10"/>
    <x v="5"/>
    <x v="1"/>
    <x v="1"/>
    <x v="1"/>
    <x v="6"/>
    <x v="5"/>
    <x v="2"/>
    <s v="Jan-23"/>
    <s v="Jun-23"/>
    <x v="17"/>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4" cacheId="0" applyNumberFormats="0" applyBorderFormats="0" applyFontFormats="0" applyPatternFormats="0" applyAlignmentFormats="0" applyWidthHeightFormats="1" dataCaption="Values" updatedVersion="8" minRefreshableVersion="3" itemPrintTitles="1" createdVersion="6" indent="0" outline="1" outlineData="1" multipleFieldFilters="0">
  <location ref="C11" firstHeaderRow="0" firstDataRow="0" firstDataCol="0" rowPageCount="1" colPageCount="1"/>
  <pivotFields count="16">
    <pivotField showAll="0"/>
    <pivotField axis="axisPage" multipleItemSelectionAllowed="1" showAll="0">
      <items count="251">
        <item m="1" x="202"/>
        <item m="1" x="232"/>
        <item m="1" x="195"/>
        <item m="1" x="208"/>
        <item m="1" x="157"/>
        <item m="1" x="219"/>
        <item m="1" x="221"/>
        <item m="1" x="211"/>
        <item m="1" x="234"/>
        <item m="1" x="163"/>
        <item m="1" x="200"/>
        <item m="1" x="230"/>
        <item m="1" x="238"/>
        <item m="1" x="249"/>
        <item m="1" x="210"/>
        <item m="1" x="170"/>
        <item m="1" x="201"/>
        <item m="1" x="172"/>
        <item m="1" x="127"/>
        <item m="1" x="190"/>
        <item m="1" x="183"/>
        <item m="1" x="152"/>
        <item m="1" x="155"/>
        <item m="1" x="142"/>
        <item m="1" x="159"/>
        <item m="1" x="197"/>
        <item m="1" x="156"/>
        <item m="1" x="214"/>
        <item m="1" x="175"/>
        <item m="1" x="240"/>
        <item m="1" x="203"/>
        <item m="1" x="128"/>
        <item m="1" x="226"/>
        <item m="1" x="179"/>
        <item m="1" x="242"/>
        <item m="1" x="122"/>
        <item m="1" x="138"/>
        <item m="1" x="160"/>
        <item m="1" x="180"/>
        <item m="1" x="165"/>
        <item m="1" x="248"/>
        <item m="1" x="124"/>
        <item m="1" x="130"/>
        <item m="1" x="166"/>
        <item m="1" x="133"/>
        <item m="1" x="204"/>
        <item m="1" x="247"/>
        <item m="1" x="187"/>
        <item m="1" x="167"/>
        <item m="1" x="136"/>
        <item m="1" x="162"/>
        <item m="1" x="243"/>
        <item m="1" x="244"/>
        <item m="1" x="209"/>
        <item m="1" x="188"/>
        <item m="1" x="158"/>
        <item m="1" x="246"/>
        <item m="1" x="198"/>
        <item m="1" x="176"/>
        <item m="1" x="174"/>
        <item m="1" x="225"/>
        <item m="1" x="218"/>
        <item m="1" x="146"/>
        <item m="1" x="196"/>
        <item m="1" x="233"/>
        <item m="1" x="164"/>
        <item m="1" x="121"/>
        <item m="1" x="134"/>
        <item m="1" x="168"/>
        <item m="1" x="217"/>
        <item m="1" x="145"/>
        <item m="1" x="245"/>
        <item m="1" x="141"/>
        <item m="1" x="135"/>
        <item m="1" x="171"/>
        <item m="1" x="154"/>
        <item m="1" x="150"/>
        <item m="1" x="178"/>
        <item m="1" x="223"/>
        <item m="1" x="177"/>
        <item m="1" x="131"/>
        <item m="1" x="148"/>
        <item m="1" x="173"/>
        <item m="1" x="137"/>
        <item m="1" x="227"/>
        <item m="1" x="181"/>
        <item m="1" x="129"/>
        <item m="1" x="207"/>
        <item m="1" x="149"/>
        <item m="1" x="139"/>
        <item m="1" x="125"/>
        <item m="1" x="151"/>
        <item m="1" x="199"/>
        <item m="1" x="161"/>
        <item m="1" x="193"/>
        <item m="1" x="239"/>
        <item m="1" x="153"/>
        <item m="1" x="213"/>
        <item m="1" x="235"/>
        <item m="1" x="220"/>
        <item m="1" x="182"/>
        <item m="1" x="132"/>
        <item m="1" x="123"/>
        <item m="1" x="231"/>
        <item m="1" x="144"/>
        <item m="1" x="236"/>
        <item m="1" x="191"/>
        <item m="1" x="241"/>
        <item m="1" x="216"/>
        <item m="1" x="224"/>
        <item m="1" x="194"/>
        <item m="1" x="205"/>
        <item m="1" x="206"/>
        <item m="1" x="147"/>
        <item m="1" x="212"/>
        <item m="1" x="189"/>
        <item m="1" x="192"/>
        <item m="1" x="140"/>
        <item m="1" x="143"/>
        <item m="1" x="222"/>
        <item m="1" x="186"/>
        <item m="1" x="229"/>
        <item m="1" x="228"/>
        <item m="1" x="169"/>
        <item m="1" x="185"/>
        <item m="1" x="215"/>
        <item m="1" x="184"/>
        <item m="1" x="237"/>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t="default"/>
      </items>
    </pivotField>
    <pivotField outline="0" showAll="0" defaultSubtotal="0">
      <items count="16">
        <item m="1" x="10"/>
        <item m="1" x="14"/>
        <item m="1" x="9"/>
        <item m="1" x="13"/>
        <item m="1" x="12"/>
        <item m="1" x="15"/>
        <item x="0"/>
        <item x="1"/>
        <item x="2"/>
        <item x="4"/>
        <item x="5"/>
        <item x="6"/>
        <item x="7"/>
        <item x="3"/>
        <item m="1" x="11"/>
        <item m="1" x="8"/>
      </items>
    </pivotField>
    <pivotField showAll="0">
      <items count="12">
        <item x="8"/>
        <item x="4"/>
        <item x="0"/>
        <item x="6"/>
        <item x="2"/>
        <item x="10"/>
        <item x="1"/>
        <item x="3"/>
        <item x="7"/>
        <item x="5"/>
        <item x="9"/>
        <item t="default"/>
      </items>
    </pivotField>
    <pivotField showAll="0"/>
    <pivotField showAll="0">
      <items count="6">
        <item x="2"/>
        <item m="1" x="4"/>
        <item x="0"/>
        <item x="1"/>
        <item m="1" x="3"/>
        <item t="default"/>
      </items>
    </pivotField>
    <pivotField showAll="0"/>
    <pivotField showAll="0" defaultSubtotal="0">
      <items count="4">
        <item m="1" x="3"/>
        <item x="2"/>
        <item x="0"/>
        <item x="1"/>
      </items>
    </pivotField>
    <pivotField showAll="0"/>
    <pivotField showAll="0"/>
    <pivotField showAll="0"/>
    <pivotField numFmtId="17" showAll="0" defaultSubtotal="0"/>
    <pivotField numFmtId="17" showAll="0" defaultSubtotal="0"/>
    <pivotField showAll="0"/>
    <pivotField showAll="0"/>
    <pivotField showAll="0" defaultSubtotal="0">
      <items count="4">
        <item x="2"/>
        <item m="1" x="3"/>
        <item x="1"/>
        <item x="0"/>
      </items>
    </pivotField>
  </pivotFields>
  <pageFields count="1">
    <pageField fld="1" hier="-1"/>
  </pageFields>
  <formats count="3">
    <format dxfId="20">
      <pivotArea dataOnly="0" labelOnly="1" outline="0" fieldPosition="0">
        <references count="1">
          <reference field="1" count="0"/>
        </references>
      </pivotArea>
    </format>
    <format dxfId="19">
      <pivotArea dataOnly="0" labelOnly="1" outline="0" fieldPosition="0">
        <references count="1">
          <reference field="1" count="0"/>
        </references>
      </pivotArea>
    </format>
    <format dxfId="18">
      <pivotArea dataOnly="0" labelOnly="1" outline="0" fieldPosition="0">
        <references count="1">
          <reference field="1" count="0"/>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3"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B125" firstHeaderRow="1" firstDataRow="1" firstDataCol="2"/>
  <pivotFields count="16">
    <pivotField showAll="0"/>
    <pivotField axis="axisRow" outline="0" showAll="0" defaultSubtotal="0">
      <items count="250">
        <item m="1" x="202"/>
        <item m="1" x="232"/>
        <item m="1" x="195"/>
        <item m="1" x="208"/>
        <item m="1" x="157"/>
        <item m="1" x="219"/>
        <item m="1" x="221"/>
        <item m="1" x="211"/>
        <item m="1" x="234"/>
        <item m="1" x="163"/>
        <item m="1" x="200"/>
        <item m="1" x="230"/>
        <item m="1" x="238"/>
        <item m="1" x="249"/>
        <item m="1" x="210"/>
        <item m="1" x="170"/>
        <item m="1" x="201"/>
        <item m="1" x="172"/>
        <item m="1" x="127"/>
        <item m="1" x="190"/>
        <item m="1" x="183"/>
        <item m="1" x="152"/>
        <item m="1" x="155"/>
        <item m="1" x="142"/>
        <item m="1" x="159"/>
        <item m="1" x="197"/>
        <item m="1" x="156"/>
        <item m="1" x="214"/>
        <item m="1" x="175"/>
        <item m="1" x="240"/>
        <item m="1" x="203"/>
        <item m="1" x="128"/>
        <item m="1" x="226"/>
        <item m="1" x="179"/>
        <item m="1" x="242"/>
        <item m="1" x="122"/>
        <item m="1" x="138"/>
        <item m="1" x="160"/>
        <item m="1" x="180"/>
        <item m="1" x="165"/>
        <item m="1" x="248"/>
        <item m="1" x="124"/>
        <item m="1" x="130"/>
        <item m="1" x="166"/>
        <item m="1" x="133"/>
        <item m="1" x="204"/>
        <item m="1" x="247"/>
        <item m="1" x="187"/>
        <item m="1" x="167"/>
        <item m="1" x="136"/>
        <item m="1" x="162"/>
        <item m="1" x="243"/>
        <item m="1" x="244"/>
        <item m="1" x="209"/>
        <item m="1" x="188"/>
        <item m="1" x="158"/>
        <item m="1" x="246"/>
        <item m="1" x="198"/>
        <item m="1" x="176"/>
        <item m="1" x="174"/>
        <item m="1" x="225"/>
        <item m="1" x="218"/>
        <item m="1" x="146"/>
        <item m="1" x="196"/>
        <item m="1" x="233"/>
        <item m="1" x="164"/>
        <item m="1" x="121"/>
        <item m="1" x="134"/>
        <item m="1" x="168"/>
        <item m="1" x="217"/>
        <item m="1" x="145"/>
        <item m="1" x="245"/>
        <item m="1" x="141"/>
        <item m="1" x="135"/>
        <item m="1" x="171"/>
        <item m="1" x="154"/>
        <item m="1" x="150"/>
        <item m="1" x="178"/>
        <item m="1" x="223"/>
        <item m="1" x="177"/>
        <item m="1" x="131"/>
        <item m="1" x="148"/>
        <item m="1" x="173"/>
        <item m="1" x="137"/>
        <item m="1" x="227"/>
        <item m="1" x="181"/>
        <item m="1" x="129"/>
        <item m="1" x="207"/>
        <item m="1" x="149"/>
        <item m="1" x="139"/>
        <item m="1" x="125"/>
        <item m="1" x="151"/>
        <item m="1" x="199"/>
        <item m="1" x="161"/>
        <item m="1" x="193"/>
        <item m="1" x="239"/>
        <item m="1" x="153"/>
        <item m="1" x="213"/>
        <item m="1" x="235"/>
        <item m="1" x="220"/>
        <item m="1" x="182"/>
        <item m="1" x="132"/>
        <item m="1" x="123"/>
        <item m="1" x="231"/>
        <item m="1" x="144"/>
        <item m="1" x="236"/>
        <item m="1" x="191"/>
        <item m="1" x="241"/>
        <item m="1" x="216"/>
        <item m="1" x="224"/>
        <item m="1" x="194"/>
        <item m="1" x="205"/>
        <item m="1" x="206"/>
        <item m="1" x="147"/>
        <item m="1" x="212"/>
        <item m="1" x="189"/>
        <item m="1" x="192"/>
        <item m="1" x="140"/>
        <item m="1" x="143"/>
        <item m="1" x="222"/>
        <item m="1" x="186"/>
        <item m="1" x="229"/>
        <item m="1" x="228"/>
        <item m="1" x="169"/>
        <item m="1" x="185"/>
        <item m="1" x="215"/>
        <item m="1" x="184"/>
        <item m="1" x="237"/>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pivotField>
    <pivotField showAll="0">
      <items count="17">
        <item m="1" x="10"/>
        <item m="1" x="14"/>
        <item m="1" x="9"/>
        <item m="1" x="13"/>
        <item m="1" x="12"/>
        <item m="1" x="15"/>
        <item x="0"/>
        <item x="1"/>
        <item x="2"/>
        <item x="4"/>
        <item x="5"/>
        <item x="6"/>
        <item x="7"/>
        <item x="3"/>
        <item m="1" x="11"/>
        <item m="1" x="8"/>
        <item t="default"/>
      </items>
    </pivotField>
    <pivotField showAll="0">
      <items count="12">
        <item x="8"/>
        <item x="4"/>
        <item x="0"/>
        <item x="6"/>
        <item x="2"/>
        <item x="10"/>
        <item x="1"/>
        <item x="3"/>
        <item x="7"/>
        <item x="5"/>
        <item x="9"/>
        <item t="default"/>
      </items>
    </pivotField>
    <pivotField showAll="0"/>
    <pivotField showAll="0">
      <items count="6">
        <item x="2"/>
        <item m="1" x="4"/>
        <item x="0"/>
        <item x="1"/>
        <item m="1" x="3"/>
        <item t="default"/>
      </items>
    </pivotField>
    <pivotField showAll="0"/>
    <pivotField showAll="0" defaultSubtotal="0">
      <items count="4">
        <item m="1" x="3"/>
        <item x="2"/>
        <item x="0"/>
        <item x="1"/>
      </items>
    </pivotField>
    <pivotField showAll="0"/>
    <pivotField showAll="0"/>
    <pivotField showAll="0"/>
    <pivotField numFmtId="17" showAll="0" defaultSubtotal="0"/>
    <pivotField numFmtId="17" showAll="0" defaultSubtotal="0"/>
    <pivotField showAll="0"/>
    <pivotField showAll="0"/>
    <pivotField axis="axisRow" showAll="0" defaultSubtotal="0">
      <items count="4">
        <item m="1" x="3"/>
        <item x="1"/>
        <item x="0"/>
        <item x="2"/>
      </items>
    </pivotField>
  </pivotFields>
  <rowFields count="2">
    <field x="1"/>
    <field x="15"/>
  </rowFields>
  <rowItems count="122">
    <i>
      <x v="129"/>
      <x v="2"/>
    </i>
    <i>
      <x v="130"/>
      <x v="2"/>
    </i>
    <i>
      <x v="131"/>
      <x v="2"/>
    </i>
    <i>
      <x v="132"/>
      <x v="2"/>
    </i>
    <i>
      <x v="133"/>
      <x v="2"/>
    </i>
    <i>
      <x v="134"/>
      <x v="2"/>
    </i>
    <i>
      <x v="135"/>
      <x v="2"/>
    </i>
    <i>
      <x v="136"/>
      <x v="2"/>
    </i>
    <i>
      <x v="137"/>
      <x v="2"/>
    </i>
    <i>
      <x v="138"/>
      <x v="2"/>
    </i>
    <i>
      <x v="139"/>
      <x v="2"/>
    </i>
    <i>
      <x v="140"/>
      <x v="2"/>
    </i>
    <i>
      <x v="141"/>
      <x v="2"/>
    </i>
    <i>
      <x v="142"/>
      <x v="2"/>
    </i>
    <i>
      <x v="143"/>
      <x v="2"/>
    </i>
    <i>
      <x v="144"/>
      <x v="2"/>
    </i>
    <i>
      <x v="145"/>
      <x v="2"/>
    </i>
    <i>
      <x v="146"/>
      <x v="2"/>
    </i>
    <i>
      <x v="147"/>
      <x v="2"/>
    </i>
    <i>
      <x v="148"/>
      <x v="2"/>
    </i>
    <i>
      <x v="149"/>
      <x v="2"/>
    </i>
    <i>
      <x v="150"/>
      <x v="2"/>
    </i>
    <i>
      <x v="151"/>
      <x v="2"/>
    </i>
    <i>
      <x v="152"/>
      <x v="2"/>
    </i>
    <i>
      <x v="153"/>
      <x v="2"/>
    </i>
    <i>
      <x v="154"/>
      <x v="2"/>
    </i>
    <i>
      <x v="155"/>
      <x v="2"/>
    </i>
    <i>
      <x v="156"/>
      <x v="2"/>
    </i>
    <i>
      <x v="157"/>
      <x v="2"/>
    </i>
    <i>
      <x v="158"/>
      <x v="2"/>
    </i>
    <i>
      <x v="159"/>
      <x v="2"/>
    </i>
    <i>
      <x v="160"/>
      <x v="2"/>
    </i>
    <i>
      <x v="161"/>
      <x v="1"/>
    </i>
    <i>
      <x v="162"/>
      <x v="2"/>
    </i>
    <i>
      <x v="163"/>
      <x v="2"/>
    </i>
    <i>
      <x v="164"/>
      <x v="2"/>
    </i>
    <i>
      <x v="165"/>
      <x v="2"/>
    </i>
    <i>
      <x v="166"/>
      <x v="1"/>
    </i>
    <i>
      <x v="167"/>
      <x v="2"/>
    </i>
    <i>
      <x v="168"/>
      <x v="2"/>
    </i>
    <i>
      <x v="169"/>
      <x v="2"/>
    </i>
    <i>
      <x v="170"/>
      <x v="2"/>
    </i>
    <i>
      <x v="171"/>
      <x v="2"/>
    </i>
    <i>
      <x v="172"/>
      <x v="2"/>
    </i>
    <i>
      <x v="173"/>
      <x v="2"/>
    </i>
    <i>
      <x v="174"/>
      <x v="2"/>
    </i>
    <i>
      <x v="175"/>
      <x v="2"/>
    </i>
    <i>
      <x v="176"/>
      <x v="2"/>
    </i>
    <i>
      <x v="177"/>
      <x v="2"/>
    </i>
    <i>
      <x v="178"/>
      <x v="2"/>
    </i>
    <i>
      <x v="179"/>
      <x v="2"/>
    </i>
    <i>
      <x v="180"/>
      <x v="2"/>
    </i>
    <i>
      <x v="181"/>
      <x v="2"/>
    </i>
    <i>
      <x v="182"/>
      <x v="2"/>
    </i>
    <i>
      <x v="183"/>
      <x v="2"/>
    </i>
    <i>
      <x v="184"/>
      <x v="2"/>
    </i>
    <i>
      <x v="185"/>
      <x v="2"/>
    </i>
    <i>
      <x v="186"/>
      <x v="2"/>
    </i>
    <i>
      <x v="187"/>
      <x v="2"/>
    </i>
    <i>
      <x v="188"/>
      <x v="2"/>
    </i>
    <i>
      <x v="189"/>
      <x v="2"/>
    </i>
    <i>
      <x v="190"/>
      <x v="2"/>
    </i>
    <i>
      <x v="191"/>
      <x v="2"/>
    </i>
    <i>
      <x v="192"/>
      <x v="2"/>
    </i>
    <i>
      <x v="193"/>
      <x v="2"/>
    </i>
    <i>
      <x v="194"/>
      <x v="2"/>
    </i>
    <i>
      <x v="195"/>
      <x v="2"/>
    </i>
    <i>
      <x v="196"/>
      <x v="3"/>
    </i>
    <i>
      <x v="197"/>
      <x v="2"/>
    </i>
    <i>
      <x v="198"/>
      <x v="2"/>
    </i>
    <i>
      <x v="199"/>
      <x v="2"/>
    </i>
    <i>
      <x v="200"/>
      <x v="2"/>
    </i>
    <i>
      <x v="201"/>
      <x v="2"/>
    </i>
    <i>
      <x v="202"/>
      <x v="2"/>
    </i>
    <i>
      <x v="203"/>
      <x v="2"/>
    </i>
    <i>
      <x v="204"/>
      <x v="2"/>
    </i>
    <i>
      <x v="205"/>
      <x v="2"/>
    </i>
    <i>
      <x v="206"/>
      <x v="2"/>
    </i>
    <i>
      <x v="207"/>
      <x v="2"/>
    </i>
    <i>
      <x v="208"/>
      <x v="2"/>
    </i>
    <i>
      <x v="209"/>
      <x v="2"/>
    </i>
    <i>
      <x v="210"/>
      <x v="2"/>
    </i>
    <i>
      <x v="211"/>
      <x v="2"/>
    </i>
    <i>
      <x v="212"/>
      <x v="2"/>
    </i>
    <i>
      <x v="213"/>
      <x v="2"/>
    </i>
    <i>
      <x v="214"/>
      <x v="2"/>
    </i>
    <i>
      <x v="215"/>
      <x v="2"/>
    </i>
    <i>
      <x v="216"/>
      <x v="2"/>
    </i>
    <i>
      <x v="217"/>
      <x v="2"/>
    </i>
    <i>
      <x v="218"/>
      <x v="2"/>
    </i>
    <i>
      <x v="219"/>
      <x v="2"/>
    </i>
    <i>
      <x v="220"/>
      <x v="2"/>
    </i>
    <i>
      <x v="221"/>
      <x v="2"/>
    </i>
    <i>
      <x v="222"/>
      <x v="2"/>
    </i>
    <i>
      <x v="223"/>
      <x v="2"/>
    </i>
    <i>
      <x v="224"/>
      <x v="2"/>
    </i>
    <i>
      <x v="225"/>
      <x v="2"/>
    </i>
    <i>
      <x v="226"/>
      <x v="2"/>
    </i>
    <i>
      <x v="227"/>
      <x v="2"/>
    </i>
    <i>
      <x v="228"/>
      <x v="2"/>
    </i>
    <i>
      <x v="229"/>
      <x v="2"/>
    </i>
    <i>
      <x v="230"/>
      <x v="2"/>
    </i>
    <i>
      <x v="231"/>
      <x v="2"/>
    </i>
    <i>
      <x v="232"/>
      <x v="2"/>
    </i>
    <i>
      <x v="233"/>
      <x v="2"/>
    </i>
    <i>
      <x v="234"/>
      <x v="2"/>
    </i>
    <i>
      <x v="235"/>
      <x v="2"/>
    </i>
    <i>
      <x v="236"/>
      <x v="2"/>
    </i>
    <i>
      <x v="237"/>
      <x v="2"/>
    </i>
    <i>
      <x v="238"/>
      <x v="2"/>
    </i>
    <i>
      <x v="239"/>
      <x v="2"/>
    </i>
    <i>
      <x v="240"/>
      <x v="2"/>
    </i>
    <i>
      <x v="241"/>
      <x v="2"/>
    </i>
    <i>
      <x v="242"/>
      <x v="2"/>
    </i>
    <i>
      <x v="243"/>
      <x v="2"/>
    </i>
    <i>
      <x v="244"/>
      <x v="2"/>
    </i>
    <i>
      <x v="245"/>
      <x v="2"/>
    </i>
    <i>
      <x v="246"/>
      <x v="2"/>
    </i>
    <i>
      <x v="247"/>
      <x v="2"/>
    </i>
    <i>
      <x v="248"/>
      <x v="2"/>
    </i>
    <i>
      <x v="249"/>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2:D134" firstHeaderRow="1" firstDataRow="1" firstDataCol="4"/>
  <pivotFields count="16">
    <pivotField showAll="0"/>
    <pivotField axis="axisRow" outline="0" showAll="0" defaultSubtotal="0">
      <items count="250">
        <item m="1" x="202"/>
        <item m="1" x="232"/>
        <item m="1" x="195"/>
        <item m="1" x="208"/>
        <item m="1" x="157"/>
        <item m="1" x="219"/>
        <item m="1" x="221"/>
        <item m="1" x="211"/>
        <item m="1" x="234"/>
        <item m="1" x="163"/>
        <item m="1" x="200"/>
        <item m="1" x="230"/>
        <item m="1" x="238"/>
        <item m="1" x="249"/>
        <item m="1" x="210"/>
        <item m="1" x="170"/>
        <item m="1" x="201"/>
        <item m="1" x="172"/>
        <item m="1" x="127"/>
        <item m="1" x="190"/>
        <item m="1" x="183"/>
        <item m="1" x="152"/>
        <item m="1" x="155"/>
        <item m="1" x="142"/>
        <item m="1" x="159"/>
        <item m="1" x="197"/>
        <item m="1" x="156"/>
        <item m="1" x="214"/>
        <item m="1" x="175"/>
        <item m="1" x="240"/>
        <item m="1" x="203"/>
        <item m="1" x="128"/>
        <item m="1" x="226"/>
        <item m="1" x="179"/>
        <item m="1" x="242"/>
        <item m="1" x="122"/>
        <item m="1" x="138"/>
        <item m="1" x="160"/>
        <item m="1" x="180"/>
        <item m="1" x="165"/>
        <item m="1" x="248"/>
        <item m="1" x="124"/>
        <item m="1" x="130"/>
        <item m="1" x="166"/>
        <item m="1" x="133"/>
        <item m="1" x="204"/>
        <item m="1" x="247"/>
        <item m="1" x="187"/>
        <item m="1" x="167"/>
        <item m="1" x="136"/>
        <item m="1" x="162"/>
        <item m="1" x="243"/>
        <item m="1" x="244"/>
        <item m="1" x="209"/>
        <item m="1" x="188"/>
        <item m="1" x="158"/>
        <item m="1" x="246"/>
        <item m="1" x="198"/>
        <item m="1" x="176"/>
        <item m="1" x="174"/>
        <item m="1" x="225"/>
        <item m="1" x="218"/>
        <item m="1" x="146"/>
        <item m="1" x="196"/>
        <item m="1" x="233"/>
        <item m="1" x="164"/>
        <item m="1" x="121"/>
        <item m="1" x="134"/>
        <item m="1" x="168"/>
        <item m="1" x="217"/>
        <item m="1" x="145"/>
        <item m="1" x="245"/>
        <item m="1" x="141"/>
        <item m="1" x="135"/>
        <item m="1" x="171"/>
        <item m="1" x="154"/>
        <item m="1" x="150"/>
        <item m="1" x="178"/>
        <item m="1" x="223"/>
        <item m="1" x="177"/>
        <item m="1" x="131"/>
        <item m="1" x="148"/>
        <item m="1" x="173"/>
        <item m="1" x="137"/>
        <item m="1" x="227"/>
        <item m="1" x="181"/>
        <item m="1" x="129"/>
        <item m="1" x="207"/>
        <item m="1" x="149"/>
        <item m="1" x="139"/>
        <item m="1" x="125"/>
        <item m="1" x="151"/>
        <item m="1" x="199"/>
        <item m="1" x="161"/>
        <item m="1" x="193"/>
        <item m="1" x="239"/>
        <item m="1" x="153"/>
        <item m="1" x="213"/>
        <item m="1" x="235"/>
        <item m="1" x="220"/>
        <item m="1" x="182"/>
        <item m="1" x="132"/>
        <item m="1" x="123"/>
        <item m="1" x="231"/>
        <item m="1" x="144"/>
        <item m="1" x="236"/>
        <item m="1" x="191"/>
        <item m="1" x="241"/>
        <item m="1" x="216"/>
        <item m="1" x="224"/>
        <item m="1" x="194"/>
        <item m="1" x="205"/>
        <item m="1" x="206"/>
        <item m="1" x="147"/>
        <item m="1" x="212"/>
        <item m="1" x="189"/>
        <item m="1" x="192"/>
        <item m="1" x="140"/>
        <item m="1" x="143"/>
        <item m="1" x="222"/>
        <item m="1" x="186"/>
        <item m="1" x="229"/>
        <item m="1" x="228"/>
        <item m="1" x="169"/>
        <item m="1" x="185"/>
        <item m="1" x="215"/>
        <item m="1" x="184"/>
        <item m="1" x="237"/>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pivotField>
    <pivotField showAll="0">
      <items count="17">
        <item m="1" x="10"/>
        <item m="1" x="14"/>
        <item m="1" x="9"/>
        <item m="1" x="13"/>
        <item m="1" x="12"/>
        <item m="1" x="15"/>
        <item x="0"/>
        <item x="1"/>
        <item x="2"/>
        <item x="4"/>
        <item x="5"/>
        <item x="6"/>
        <item x="7"/>
        <item x="3"/>
        <item m="1" x="11"/>
        <item m="1" x="8"/>
        <item t="default"/>
      </items>
    </pivotField>
    <pivotField showAll="0">
      <items count="12">
        <item x="8"/>
        <item x="4"/>
        <item x="0"/>
        <item x="6"/>
        <item x="2"/>
        <item x="10"/>
        <item x="1"/>
        <item x="3"/>
        <item x="7"/>
        <item x="5"/>
        <item x="9"/>
        <item t="default"/>
      </items>
    </pivotField>
    <pivotField showAll="0"/>
    <pivotField showAll="0">
      <items count="6">
        <item x="2"/>
        <item m="1" x="4"/>
        <item x="0"/>
        <item x="1"/>
        <item m="1" x="3"/>
        <item t="default"/>
      </items>
    </pivotField>
    <pivotField showAll="0"/>
    <pivotField showAll="0" defaultSubtotal="0">
      <items count="4">
        <item m="1" x="3"/>
        <item x="2"/>
        <item x="0"/>
        <item x="1"/>
      </items>
    </pivotField>
    <pivotField axis="axisRow" outline="0" showAll="0" defaultSubtotal="0">
      <items count="9">
        <item x="7"/>
        <item x="8"/>
        <item x="5"/>
        <item x="3"/>
        <item x="1"/>
        <item x="4"/>
        <item x="2"/>
        <item x="6"/>
        <item x="0"/>
      </items>
    </pivotField>
    <pivotField axis="axisRow" outline="0" showAll="0" defaultSubtotal="0">
      <items count="9">
        <item x="1"/>
        <item x="6"/>
        <item x="7"/>
        <item x="8"/>
        <item x="5"/>
        <item x="4"/>
        <item x="0"/>
        <item x="3"/>
        <item x="2"/>
      </items>
    </pivotField>
    <pivotField axis="axisRow" showAll="0">
      <items count="10">
        <item x="6"/>
        <item x="1"/>
        <item x="3"/>
        <item x="8"/>
        <item x="7"/>
        <item x="4"/>
        <item x="2"/>
        <item x="0"/>
        <item x="5"/>
        <item t="default"/>
      </items>
    </pivotField>
    <pivotField numFmtId="17" showAll="0" defaultSubtotal="0"/>
    <pivotField numFmtId="17" showAll="0" defaultSubtotal="0"/>
    <pivotField showAll="0"/>
    <pivotField showAll="0"/>
    <pivotField showAll="0" defaultSubtotal="0">
      <items count="4">
        <item x="2"/>
        <item m="1" x="3"/>
        <item x="1"/>
        <item x="0"/>
      </items>
    </pivotField>
  </pivotFields>
  <rowFields count="4">
    <field x="1"/>
    <field x="8"/>
    <field x="9"/>
    <field x="10"/>
  </rowFields>
  <rowItems count="122">
    <i>
      <x v="129"/>
      <x v="8"/>
      <x v="6"/>
      <x v="7"/>
    </i>
    <i>
      <x v="130"/>
      <x v="4"/>
      <x/>
      <x v="1"/>
    </i>
    <i>
      <x v="131"/>
      <x v="6"/>
      <x v="8"/>
      <x v="6"/>
    </i>
    <i>
      <x v="132"/>
      <x v="3"/>
      <x v="8"/>
      <x v="1"/>
    </i>
    <i>
      <x v="133"/>
      <x v="5"/>
      <x v="7"/>
      <x v="2"/>
    </i>
    <i>
      <x v="134"/>
      <x v="2"/>
      <x v="5"/>
      <x v="6"/>
    </i>
    <i>
      <x v="135"/>
      <x v="2"/>
      <x/>
      <x v="7"/>
    </i>
    <i>
      <x v="136"/>
      <x v="6"/>
      <x v="4"/>
      <x v="7"/>
    </i>
    <i>
      <x v="137"/>
      <x v="8"/>
      <x v="6"/>
      <x v="5"/>
    </i>
    <i>
      <x v="138"/>
      <x v="7"/>
      <x/>
      <x v="6"/>
    </i>
    <i>
      <x v="139"/>
      <x v="3"/>
      <x/>
      <x v="7"/>
    </i>
    <i>
      <x v="140"/>
      <x v="8"/>
      <x v="7"/>
      <x v="2"/>
    </i>
    <i>
      <x v="141"/>
      <x/>
      <x v="4"/>
      <x v="6"/>
    </i>
    <i>
      <x v="142"/>
      <x v="4"/>
      <x/>
      <x v="5"/>
    </i>
    <i>
      <x v="143"/>
      <x v="8"/>
      <x v="6"/>
      <x v="2"/>
    </i>
    <i>
      <x v="144"/>
      <x v="5"/>
      <x v="6"/>
      <x v="8"/>
    </i>
    <i>
      <x v="145"/>
      <x v="2"/>
      <x v="6"/>
      <x v="2"/>
    </i>
    <i>
      <x v="146"/>
      <x/>
      <x v="1"/>
      <x v="8"/>
    </i>
    <i>
      <x v="147"/>
      <x v="8"/>
      <x v="5"/>
      <x/>
    </i>
    <i>
      <x v="148"/>
      <x v="5"/>
      <x v="4"/>
      <x v="4"/>
    </i>
    <i>
      <x v="149"/>
      <x v="7"/>
      <x v="6"/>
      <x v="4"/>
    </i>
    <i>
      <x v="150"/>
      <x v="3"/>
      <x v="4"/>
      <x v="2"/>
    </i>
    <i>
      <x v="151"/>
      <x v="7"/>
      <x v="7"/>
      <x v="4"/>
    </i>
    <i>
      <x v="152"/>
      <x v="6"/>
      <x v="2"/>
      <x v="7"/>
    </i>
    <i>
      <x v="153"/>
      <x v="1"/>
      <x v="4"/>
      <x v="8"/>
    </i>
    <i>
      <x v="154"/>
      <x/>
      <x v="3"/>
      <x v="2"/>
    </i>
    <i>
      <x v="155"/>
      <x/>
      <x v="2"/>
      <x v="7"/>
    </i>
    <i>
      <x v="156"/>
      <x v="8"/>
      <x v="3"/>
      <x v="8"/>
    </i>
    <i>
      <x v="157"/>
      <x v="3"/>
      <x v="1"/>
      <x/>
    </i>
    <i>
      <x v="158"/>
      <x v="4"/>
      <x v="8"/>
      <x v="5"/>
    </i>
    <i>
      <x v="159"/>
      <x v="8"/>
      <x v="1"/>
      <x v="1"/>
    </i>
    <i>
      <x v="160"/>
      <x/>
      <x v="4"/>
      <x v="8"/>
    </i>
    <i>
      <x v="161"/>
      <x v="1"/>
      <x v="1"/>
      <x v="1"/>
    </i>
    <i>
      <x v="162"/>
      <x/>
      <x v="4"/>
      <x v="8"/>
    </i>
    <i>
      <x v="163"/>
      <x v="8"/>
      <x/>
      <x v="2"/>
    </i>
    <i>
      <x v="164"/>
      <x/>
      <x v="3"/>
      <x/>
    </i>
    <i>
      <x v="165"/>
      <x v="8"/>
      <x v="3"/>
      <x v="8"/>
    </i>
    <i>
      <x v="166"/>
      <x/>
      <x/>
      <x v="1"/>
    </i>
    <i>
      <x v="167"/>
      <x v="1"/>
      <x v="8"/>
      <x v="6"/>
    </i>
    <i>
      <x v="168"/>
      <x v="8"/>
      <x v="5"/>
      <x v="2"/>
    </i>
    <i>
      <x v="169"/>
      <x v="6"/>
      <x v="1"/>
      <x v="1"/>
    </i>
    <i>
      <x v="170"/>
      <x v="5"/>
      <x/>
      <x v="1"/>
    </i>
    <i>
      <x v="171"/>
      <x v="8"/>
      <x v="5"/>
      <x v="4"/>
    </i>
    <i>
      <x v="172"/>
      <x v="6"/>
      <x v="4"/>
      <x v="6"/>
    </i>
    <i>
      <x v="173"/>
      <x v="8"/>
      <x v="4"/>
      <x v="2"/>
    </i>
    <i>
      <x v="174"/>
      <x v="2"/>
      <x v="6"/>
      <x v="4"/>
    </i>
    <i>
      <x v="175"/>
      <x v="2"/>
      <x v="8"/>
      <x v="3"/>
    </i>
    <i>
      <x v="176"/>
      <x v="2"/>
      <x v="5"/>
      <x v="8"/>
    </i>
    <i>
      <x v="177"/>
      <x v="5"/>
      <x v="5"/>
      <x v="7"/>
    </i>
    <i>
      <x v="178"/>
      <x v="5"/>
      <x v="1"/>
      <x v="1"/>
    </i>
    <i>
      <x v="179"/>
      <x v="7"/>
      <x/>
      <x v="2"/>
    </i>
    <i>
      <x v="180"/>
      <x/>
      <x v="4"/>
      <x/>
    </i>
    <i>
      <x v="181"/>
      <x v="7"/>
      <x v="1"/>
      <x v="1"/>
    </i>
    <i>
      <x v="182"/>
      <x v="6"/>
      <x v="2"/>
      <x v="2"/>
    </i>
    <i>
      <x v="183"/>
      <x v="1"/>
      <x v="4"/>
      <x v="1"/>
    </i>
    <i>
      <x v="184"/>
      <x v="7"/>
      <x v="4"/>
      <x v="3"/>
    </i>
    <i>
      <x v="185"/>
      <x v="6"/>
      <x v="6"/>
      <x/>
    </i>
    <i>
      <x v="186"/>
      <x v="2"/>
      <x v="2"/>
      <x v="5"/>
    </i>
    <i>
      <x v="187"/>
      <x/>
      <x v="8"/>
      <x v="1"/>
    </i>
    <i>
      <x v="188"/>
      <x v="2"/>
      <x v="5"/>
      <x v="3"/>
    </i>
    <i>
      <x v="189"/>
      <x v="1"/>
      <x v="3"/>
      <x v="1"/>
    </i>
    <i>
      <x v="190"/>
      <x v="5"/>
      <x v="6"/>
      <x v="6"/>
    </i>
    <i>
      <x v="191"/>
      <x v="1"/>
      <x v="2"/>
      <x v="3"/>
    </i>
    <i>
      <x v="192"/>
      <x v="8"/>
      <x v="8"/>
      <x v="1"/>
    </i>
    <i>
      <x v="193"/>
      <x v="4"/>
      <x/>
      <x/>
    </i>
    <i>
      <x v="194"/>
      <x v="7"/>
      <x v="2"/>
      <x/>
    </i>
    <i>
      <x v="195"/>
      <x v="3"/>
      <x v="6"/>
      <x v="7"/>
    </i>
    <i>
      <x v="196"/>
      <x/>
      <x v="8"/>
      <x v="8"/>
    </i>
    <i>
      <x v="197"/>
      <x v="4"/>
      <x v="2"/>
      <x v="6"/>
    </i>
    <i>
      <x v="198"/>
      <x v="4"/>
      <x/>
      <x v="6"/>
    </i>
    <i>
      <x v="199"/>
      <x v="8"/>
      <x v="5"/>
      <x v="8"/>
    </i>
    <i>
      <x v="200"/>
      <x v="8"/>
      <x v="7"/>
      <x/>
    </i>
    <i>
      <x v="201"/>
      <x v="2"/>
      <x v="6"/>
      <x v="6"/>
    </i>
    <i>
      <x v="202"/>
      <x/>
      <x/>
      <x v="3"/>
    </i>
    <i>
      <x v="203"/>
      <x v="5"/>
      <x/>
      <x v="6"/>
    </i>
    <i>
      <x v="204"/>
      <x v="2"/>
      <x v="5"/>
      <x v="8"/>
    </i>
    <i>
      <x v="205"/>
      <x v="7"/>
      <x v="3"/>
      <x v="7"/>
    </i>
    <i>
      <x v="206"/>
      <x v="8"/>
      <x v="7"/>
      <x v="3"/>
    </i>
    <i>
      <x v="207"/>
      <x v="8"/>
      <x v="8"/>
      <x v="1"/>
    </i>
    <i>
      <x v="208"/>
      <x v="7"/>
      <x/>
      <x v="5"/>
    </i>
    <i>
      <x v="209"/>
      <x v="4"/>
      <x v="8"/>
      <x v="2"/>
    </i>
    <i>
      <x v="210"/>
      <x v="2"/>
      <x v="8"/>
      <x v="7"/>
    </i>
    <i>
      <x v="211"/>
      <x v="5"/>
      <x v="2"/>
      <x v="5"/>
    </i>
    <i>
      <x v="212"/>
      <x v="6"/>
      <x/>
      <x v="7"/>
    </i>
    <i>
      <x v="213"/>
      <x v="8"/>
      <x v="8"/>
      <x v="4"/>
    </i>
    <i>
      <x v="214"/>
      <x v="2"/>
      <x v="8"/>
      <x v="3"/>
    </i>
    <i>
      <x v="215"/>
      <x v="8"/>
      <x v="7"/>
      <x v="6"/>
    </i>
    <i>
      <x v="216"/>
      <x v="8"/>
      <x v="2"/>
      <x v="8"/>
    </i>
    <i>
      <x v="217"/>
      <x v="6"/>
      <x v="1"/>
      <x v="2"/>
    </i>
    <i>
      <x v="218"/>
      <x/>
      <x v="6"/>
      <x v="1"/>
    </i>
    <i>
      <x v="219"/>
      <x v="2"/>
      <x v="8"/>
      <x v="2"/>
    </i>
    <i>
      <x v="220"/>
      <x v="1"/>
      <x v="6"/>
      <x/>
    </i>
    <i>
      <x v="221"/>
      <x/>
      <x v="2"/>
      <x/>
    </i>
    <i>
      <x v="222"/>
      <x v="8"/>
      <x v="7"/>
      <x v="5"/>
    </i>
    <i>
      <x v="223"/>
      <x v="5"/>
      <x v="3"/>
      <x v="1"/>
    </i>
    <i>
      <x v="224"/>
      <x v="7"/>
      <x v="3"/>
      <x/>
    </i>
    <i>
      <x v="225"/>
      <x v="1"/>
      <x v="4"/>
      <x v="1"/>
    </i>
    <i>
      <x v="226"/>
      <x v="7"/>
      <x v="5"/>
      <x v="5"/>
    </i>
    <i>
      <x v="227"/>
      <x v="7"/>
      <x v="3"/>
      <x v="5"/>
    </i>
    <i>
      <x v="228"/>
      <x v="6"/>
      <x v="2"/>
      <x v="6"/>
    </i>
    <i>
      <x v="229"/>
      <x v="7"/>
      <x v="4"/>
      <x v="6"/>
    </i>
    <i>
      <x v="230"/>
      <x v="1"/>
      <x v="2"/>
      <x v="8"/>
    </i>
    <i>
      <x v="231"/>
      <x v="8"/>
      <x v="3"/>
      <x v="5"/>
    </i>
    <i>
      <x v="232"/>
      <x v="3"/>
      <x v="2"/>
      <x v="4"/>
    </i>
    <i>
      <x v="233"/>
      <x v="6"/>
      <x v="3"/>
      <x v="5"/>
    </i>
    <i>
      <x v="234"/>
      <x v="3"/>
      <x v="1"/>
      <x v="4"/>
    </i>
    <i>
      <x v="235"/>
      <x v="2"/>
      <x v="4"/>
      <x v="5"/>
    </i>
    <i>
      <x v="236"/>
      <x v="4"/>
      <x/>
      <x v="3"/>
    </i>
    <i>
      <x v="237"/>
      <x v="1"/>
      <x v="6"/>
      <x v="8"/>
    </i>
    <i>
      <x v="238"/>
      <x v="6"/>
      <x v="4"/>
      <x v="4"/>
    </i>
    <i>
      <x v="239"/>
      <x v="3"/>
      <x v="5"/>
      <x v="7"/>
    </i>
    <i>
      <x v="240"/>
      <x v="6"/>
      <x v="8"/>
      <x v="4"/>
    </i>
    <i>
      <x v="241"/>
      <x v="8"/>
      <x v="3"/>
      <x/>
    </i>
    <i>
      <x v="242"/>
      <x v="6"/>
      <x v="6"/>
      <x v="5"/>
    </i>
    <i>
      <x v="243"/>
      <x v="2"/>
      <x v="7"/>
      <x v="6"/>
    </i>
    <i>
      <x v="244"/>
      <x v="8"/>
      <x v="1"/>
      <x v="3"/>
    </i>
    <i>
      <x v="245"/>
      <x v="1"/>
      <x v="7"/>
      <x v="4"/>
    </i>
    <i>
      <x v="246"/>
      <x v="8"/>
      <x v="1"/>
      <x v="4"/>
    </i>
    <i>
      <x v="247"/>
      <x v="8"/>
      <x v="8"/>
      <x v="7"/>
    </i>
    <i>
      <x v="248"/>
      <x/>
      <x/>
      <x v="2"/>
    </i>
    <i>
      <x v="249"/>
      <x v="7"/>
      <x v="4"/>
      <x v="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10"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K3" firstHeaderRow="0" firstDataRow="0" firstDataCol="0" rowPageCount="1" colPageCount="1"/>
  <pivotFields count="16">
    <pivotField showAll="0"/>
    <pivotField axis="axisPage" multipleItemSelectionAllowed="1" showAll="0">
      <items count="251">
        <item m="1" x="202"/>
        <item m="1" x="232"/>
        <item m="1" x="195"/>
        <item m="1" x="208"/>
        <item m="1" x="157"/>
        <item m="1" x="219"/>
        <item m="1" x="221"/>
        <item m="1" x="211"/>
        <item m="1" x="234"/>
        <item m="1" x="163"/>
        <item m="1" x="200"/>
        <item m="1" x="230"/>
        <item m="1" x="238"/>
        <item m="1" x="249"/>
        <item m="1" x="210"/>
        <item m="1" x="170"/>
        <item m="1" x="201"/>
        <item m="1" x="172"/>
        <item m="1" x="127"/>
        <item m="1" x="190"/>
        <item m="1" x="183"/>
        <item m="1" x="152"/>
        <item m="1" x="155"/>
        <item m="1" x="142"/>
        <item m="1" x="159"/>
        <item m="1" x="197"/>
        <item m="1" x="156"/>
        <item m="1" x="214"/>
        <item m="1" x="175"/>
        <item m="1" x="240"/>
        <item m="1" x="203"/>
        <item m="1" x="128"/>
        <item m="1" x="226"/>
        <item m="1" x="179"/>
        <item m="1" x="242"/>
        <item m="1" x="122"/>
        <item m="1" x="138"/>
        <item m="1" x="160"/>
        <item m="1" x="180"/>
        <item m="1" x="165"/>
        <item m="1" x="248"/>
        <item m="1" x="124"/>
        <item m="1" x="130"/>
        <item m="1" x="166"/>
        <item m="1" x="133"/>
        <item m="1" x="204"/>
        <item m="1" x="247"/>
        <item m="1" x="187"/>
        <item m="1" x="167"/>
        <item m="1" x="136"/>
        <item m="1" x="162"/>
        <item m="1" x="243"/>
        <item m="1" x="244"/>
        <item m="1" x="209"/>
        <item m="1" x="188"/>
        <item m="1" x="158"/>
        <item m="1" x="246"/>
        <item m="1" x="198"/>
        <item m="1" x="176"/>
        <item m="1" x="174"/>
        <item m="1" x="225"/>
        <item m="1" x="218"/>
        <item m="1" x="146"/>
        <item m="1" x="196"/>
        <item m="1" x="233"/>
        <item m="1" x="164"/>
        <item m="1" x="121"/>
        <item m="1" x="134"/>
        <item m="1" x="168"/>
        <item m="1" x="217"/>
        <item m="1" x="145"/>
        <item m="1" x="245"/>
        <item m="1" x="141"/>
        <item m="1" x="135"/>
        <item m="1" x="171"/>
        <item m="1" x="154"/>
        <item m="1" x="150"/>
        <item m="1" x="178"/>
        <item m="1" x="223"/>
        <item m="1" x="177"/>
        <item m="1" x="131"/>
        <item m="1" x="148"/>
        <item m="1" x="173"/>
        <item m="1" x="137"/>
        <item m="1" x="227"/>
        <item m="1" x="181"/>
        <item m="1" x="129"/>
        <item m="1" x="207"/>
        <item m="1" x="149"/>
        <item m="1" x="139"/>
        <item m="1" x="125"/>
        <item m="1" x="151"/>
        <item m="1" x="199"/>
        <item m="1" x="161"/>
        <item m="1" x="193"/>
        <item m="1" x="239"/>
        <item m="1" x="153"/>
        <item m="1" x="213"/>
        <item m="1" x="235"/>
        <item m="1" x="220"/>
        <item m="1" x="182"/>
        <item m="1" x="132"/>
        <item m="1" x="123"/>
        <item m="1" x="231"/>
        <item m="1" x="144"/>
        <item m="1" x="236"/>
        <item m="1" x="191"/>
        <item m="1" x="241"/>
        <item m="1" x="216"/>
        <item m="1" x="224"/>
        <item m="1" x="194"/>
        <item m="1" x="205"/>
        <item m="1" x="206"/>
        <item m="1" x="147"/>
        <item m="1" x="212"/>
        <item m="1" x="189"/>
        <item m="1" x="192"/>
        <item m="1" x="140"/>
        <item m="1" x="143"/>
        <item m="1" x="222"/>
        <item m="1" x="186"/>
        <item m="1" x="229"/>
        <item m="1" x="228"/>
        <item m="1" x="169"/>
        <item m="1" x="185"/>
        <item m="1" x="215"/>
        <item m="1" x="184"/>
        <item m="1" x="237"/>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t="default"/>
      </items>
    </pivotField>
    <pivotField outline="0" showAll="0" defaultSubtotal="0">
      <items count="16">
        <item m="1" x="10"/>
        <item m="1" x="14"/>
        <item m="1" x="9"/>
        <item m="1" x="13"/>
        <item m="1" x="12"/>
        <item m="1" x="15"/>
        <item x="0"/>
        <item x="1"/>
        <item x="2"/>
        <item x="4"/>
        <item x="5"/>
        <item x="6"/>
        <item x="7"/>
        <item x="3"/>
        <item m="1" x="11"/>
        <item m="1" x="8"/>
      </items>
    </pivotField>
    <pivotField showAll="0">
      <items count="12">
        <item x="8"/>
        <item x="4"/>
        <item x="0"/>
        <item x="6"/>
        <item x="2"/>
        <item x="10"/>
        <item x="1"/>
        <item x="3"/>
        <item x="7"/>
        <item x="5"/>
        <item x="9"/>
        <item t="default"/>
      </items>
    </pivotField>
    <pivotField showAll="0"/>
    <pivotField showAll="0">
      <items count="6">
        <item x="2"/>
        <item m="1" x="4"/>
        <item x="0"/>
        <item x="1"/>
        <item m="1" x="3"/>
        <item t="default"/>
      </items>
    </pivotField>
    <pivotField showAll="0"/>
    <pivotField showAll="0" defaultSubtotal="0">
      <items count="4">
        <item m="1" x="3"/>
        <item x="2"/>
        <item x="0"/>
        <item x="1"/>
      </items>
    </pivotField>
    <pivotField showAll="0"/>
    <pivotField showAll="0"/>
    <pivotField showAll="0"/>
    <pivotField numFmtId="17" showAll="0" defaultSubtotal="0"/>
    <pivotField numFmtId="17" showAll="0" defaultSubtotal="0"/>
    <pivotField showAll="0"/>
    <pivotField showAll="0"/>
    <pivotField showAll="0" defaultSubtotal="0">
      <items count="4">
        <item x="2"/>
        <item m="1" x="3"/>
        <item x="1"/>
        <item x="0"/>
      </items>
    </pivotField>
  </pivotField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outline="1" outlineData="1" multipleFieldFilters="0">
  <location ref="A3:B125" firstHeaderRow="1" firstDataRow="1" firstDataCol="2"/>
  <pivotFields count="16">
    <pivotField showAll="0"/>
    <pivotField axis="axisRow" outline="0" showAll="0" defaultSubtotal="0">
      <items count="250">
        <item m="1" x="202"/>
        <item m="1" x="232"/>
        <item m="1" x="195"/>
        <item m="1" x="208"/>
        <item m="1" x="157"/>
        <item m="1" x="213"/>
        <item m="1" x="219"/>
        <item m="1" x="148"/>
        <item m="1" x="164"/>
        <item m="1" x="221"/>
        <item m="1" x="211"/>
        <item m="1" x="234"/>
        <item m="1" x="163"/>
        <item m="1" x="200"/>
        <item m="1" x="230"/>
        <item m="1" x="173"/>
        <item m="1" x="125"/>
        <item m="1" x="235"/>
        <item m="1" x="238"/>
        <item m="1" x="249"/>
        <item m="1" x="210"/>
        <item m="1" x="170"/>
        <item m="1" x="220"/>
        <item m="1" x="201"/>
        <item m="1" x="182"/>
        <item m="1" x="172"/>
        <item m="1" x="132"/>
        <item m="1" x="123"/>
        <item m="1" x="127"/>
        <item m="1" x="231"/>
        <item m="1" x="190"/>
        <item m="1" x="183"/>
        <item m="1" x="152"/>
        <item m="1" x="144"/>
        <item m="1" x="236"/>
        <item m="1" x="191"/>
        <item m="1" x="241"/>
        <item m="1" x="134"/>
        <item m="1" x="155"/>
        <item m="1" x="142"/>
        <item m="1" x="159"/>
        <item m="1" x="197"/>
        <item m="1" x="156"/>
        <item m="1" x="214"/>
        <item m="1" x="175"/>
        <item m="1" x="240"/>
        <item m="1" x="216"/>
        <item m="1" x="224"/>
        <item m="1" x="145"/>
        <item m="1" x="203"/>
        <item m="1" x="178"/>
        <item m="1" x="128"/>
        <item m="1" x="137"/>
        <item m="1" x="226"/>
        <item m="1" x="179"/>
        <item m="1" x="242"/>
        <item m="1" x="227"/>
        <item m="1" x="245"/>
        <item m="1" x="151"/>
        <item m="1" x="194"/>
        <item m="1" x="122"/>
        <item m="1" x="199"/>
        <item m="1" x="138"/>
        <item m="1" x="160"/>
        <item m="1" x="180"/>
        <item m="1" x="121"/>
        <item m="1" x="165"/>
        <item m="1" x="248"/>
        <item m="1" x="124"/>
        <item m="1" x="130"/>
        <item m="1" x="166"/>
        <item m="1" x="223"/>
        <item m="1" x="177"/>
        <item m="1" x="131"/>
        <item m="1" x="133"/>
        <item m="1" x="204"/>
        <item m="1" x="247"/>
        <item m="1" x="205"/>
        <item m="1" x="206"/>
        <item m="1" x="187"/>
        <item m="1" x="167"/>
        <item m="1" x="181"/>
        <item m="1" x="136"/>
        <item m="1" x="162"/>
        <item m="1" x="161"/>
        <item m="1" x="141"/>
        <item m="1" x="193"/>
        <item m="1" x="135"/>
        <item m="1" x="243"/>
        <item m="1" x="244"/>
        <item m="1" x="209"/>
        <item m="1" x="188"/>
        <item m="1" x="168"/>
        <item m="1" x="129"/>
        <item m="1" x="158"/>
        <item m="1" x="246"/>
        <item m="1" x="207"/>
        <item m="1" x="171"/>
        <item m="1" x="239"/>
        <item m="1" x="153"/>
        <item m="1" x="154"/>
        <item m="1" x="150"/>
        <item m="1" x="149"/>
        <item m="1" x="147"/>
        <item m="1" x="212"/>
        <item m="1" x="189"/>
        <item m="1" x="192"/>
        <item m="1" x="198"/>
        <item m="1" x="176"/>
        <item m="1" x="174"/>
        <item m="1" x="217"/>
        <item m="1" x="225"/>
        <item m="1" x="218"/>
        <item m="1" x="146"/>
        <item m="1" x="196"/>
        <item m="1" x="233"/>
        <item m="1" x="139"/>
        <item m="1" x="140"/>
        <item m="1" x="143"/>
        <item m="1" x="222"/>
        <item m="1" x="186"/>
        <item m="1" x="229"/>
        <item m="1" x="228"/>
        <item m="1" x="169"/>
        <item m="1" x="185"/>
        <item m="1" x="215"/>
        <item m="1" x="184"/>
        <item m="1" x="237"/>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pivotField>
    <pivotField axis="axisRow" outline="0" showAll="0" defaultSubtotal="0">
      <items count="16">
        <item m="1" x="10"/>
        <item m="1" x="9"/>
        <item m="1" x="13"/>
        <item m="1" x="12"/>
        <item m="1" x="15"/>
        <item m="1" x="11"/>
        <item m="1" x="8"/>
        <item m="1" x="14"/>
        <item x="0"/>
        <item x="1"/>
        <item x="2"/>
        <item x="3"/>
        <item x="4"/>
        <item x="5"/>
        <item x="6"/>
        <item x="7"/>
      </items>
    </pivotField>
    <pivotField showAll="0">
      <items count="12">
        <item x="8"/>
        <item x="4"/>
        <item x="0"/>
        <item x="6"/>
        <item x="2"/>
        <item x="10"/>
        <item x="1"/>
        <item x="3"/>
        <item x="7"/>
        <item x="5"/>
        <item x="9"/>
        <item t="default"/>
      </items>
    </pivotField>
    <pivotField showAll="0"/>
    <pivotField outline="0" showAll="0">
      <items count="6">
        <item x="2"/>
        <item m="1" x="4"/>
        <item x="0"/>
        <item x="1"/>
        <item m="1" x="3"/>
        <item t="default"/>
      </items>
    </pivotField>
    <pivotField showAll="0"/>
    <pivotField showAll="0" defaultSubtotal="0">
      <items count="4">
        <item m="1" x="3"/>
        <item x="2"/>
        <item x="0"/>
        <item x="1"/>
      </items>
    </pivotField>
    <pivotField showAll="0"/>
    <pivotField showAll="0"/>
    <pivotField showAll="0"/>
    <pivotField numFmtId="17" showAll="0" defaultSubtotal="0"/>
    <pivotField numFmtId="17" showAll="0" defaultSubtotal="0"/>
    <pivotField showAll="0"/>
    <pivotField showAll="0"/>
    <pivotField showAll="0" defaultSubtotal="0">
      <items count="4">
        <item x="2"/>
        <item m="1" x="3"/>
        <item x="1"/>
        <item x="0"/>
      </items>
    </pivotField>
  </pivotFields>
  <rowFields count="2">
    <field x="2"/>
    <field x="1"/>
  </rowFields>
  <rowItems count="122">
    <i>
      <x v="8"/>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x v="9"/>
      <x v="157"/>
    </i>
    <i r="1">
      <x v="158"/>
    </i>
    <i r="1">
      <x v="159"/>
    </i>
    <i r="1">
      <x v="160"/>
    </i>
    <i r="1">
      <x v="161"/>
    </i>
    <i r="1">
      <x v="162"/>
    </i>
    <i r="1">
      <x v="163"/>
    </i>
    <i r="1">
      <x v="164"/>
    </i>
    <i r="1">
      <x v="165"/>
    </i>
    <i r="1">
      <x v="166"/>
    </i>
    <i r="1">
      <x v="167"/>
    </i>
    <i>
      <x v="10"/>
      <x v="168"/>
    </i>
    <i r="1">
      <x v="169"/>
    </i>
    <i r="1">
      <x v="170"/>
    </i>
    <i r="1">
      <x v="171"/>
    </i>
    <i r="1">
      <x v="172"/>
    </i>
    <i r="1">
      <x v="174"/>
    </i>
    <i r="1">
      <x v="175"/>
    </i>
    <i r="1">
      <x v="176"/>
    </i>
    <i r="1">
      <x v="177"/>
    </i>
    <i>
      <x v="11"/>
      <x v="173"/>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x v="12"/>
      <x v="178"/>
    </i>
    <i r="1">
      <x v="179"/>
    </i>
    <i r="1">
      <x v="180"/>
    </i>
    <i r="1">
      <x v="181"/>
    </i>
    <i r="1">
      <x v="182"/>
    </i>
    <i r="1">
      <x v="183"/>
    </i>
    <i r="1">
      <x v="184"/>
    </i>
    <i r="1">
      <x v="185"/>
    </i>
    <i r="1">
      <x v="186"/>
    </i>
    <i>
      <x v="13"/>
      <x v="187"/>
    </i>
    <i r="1">
      <x v="188"/>
    </i>
    <i r="1">
      <x v="189"/>
    </i>
    <i r="1">
      <x v="190"/>
    </i>
    <i r="1">
      <x v="191"/>
    </i>
    <i r="1">
      <x v="192"/>
    </i>
    <i r="1">
      <x v="193"/>
    </i>
    <i r="1">
      <x v="194"/>
    </i>
    <i r="1">
      <x v="195"/>
    </i>
    <i r="1">
      <x v="196"/>
    </i>
    <i r="1">
      <x v="197"/>
    </i>
    <i>
      <x v="14"/>
      <x v="198"/>
    </i>
    <i r="1">
      <x v="199"/>
    </i>
    <i r="1">
      <x v="200"/>
    </i>
    <i r="1">
      <x v="201"/>
    </i>
    <i r="1">
      <x v="202"/>
    </i>
    <i r="1">
      <x v="203"/>
    </i>
    <i r="1">
      <x v="204"/>
    </i>
    <i r="1">
      <x v="205"/>
    </i>
    <i r="1">
      <x v="206"/>
    </i>
    <i r="1">
      <x v="207"/>
    </i>
    <i r="1">
      <x v="208"/>
    </i>
    <i r="1">
      <x v="209"/>
    </i>
    <i r="1">
      <x v="210"/>
    </i>
    <i r="1">
      <x v="211"/>
    </i>
    <i r="1">
      <x v="212"/>
    </i>
    <i r="1">
      <x v="213"/>
    </i>
    <i r="1">
      <x v="214"/>
    </i>
    <i r="1">
      <x v="215"/>
    </i>
    <i r="1">
      <x v="216"/>
    </i>
    <i r="1">
      <x v="217"/>
    </i>
    <i>
      <x v="15"/>
      <x v="218"/>
    </i>
    <i r="1">
      <x v="219"/>
    </i>
    <i r="1">
      <x v="220"/>
    </i>
    <i r="1">
      <x v="221"/>
    </i>
    <i r="1">
      <x v="222"/>
    </i>
    <i r="1">
      <x v="223"/>
    </i>
    <i r="1">
      <x v="224"/>
    </i>
    <i r="1">
      <x v="225"/>
    </i>
    <i r="1">
      <x v="22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5"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C125" firstHeaderRow="1" firstDataRow="1" firstDataCol="3"/>
  <pivotFields count="16">
    <pivotField showAll="0"/>
    <pivotField axis="axisRow" outline="0" showAll="0" defaultSubtotal="0">
      <items count="250">
        <item m="1" x="202"/>
        <item m="1" x="232"/>
        <item m="1" x="195"/>
        <item m="1" x="208"/>
        <item m="1" x="157"/>
        <item m="1" x="219"/>
        <item m="1" x="221"/>
        <item m="1" x="211"/>
        <item m="1" x="234"/>
        <item m="1" x="163"/>
        <item m="1" x="200"/>
        <item m="1" x="230"/>
        <item m="1" x="238"/>
        <item m="1" x="249"/>
        <item m="1" x="210"/>
        <item m="1" x="170"/>
        <item m="1" x="201"/>
        <item m="1" x="172"/>
        <item m="1" x="127"/>
        <item m="1" x="190"/>
        <item m="1" x="183"/>
        <item m="1" x="152"/>
        <item m="1" x="155"/>
        <item m="1" x="142"/>
        <item m="1" x="159"/>
        <item m="1" x="197"/>
        <item m="1" x="156"/>
        <item m="1" x="214"/>
        <item m="1" x="175"/>
        <item m="1" x="240"/>
        <item m="1" x="203"/>
        <item m="1" x="128"/>
        <item m="1" x="226"/>
        <item m="1" x="179"/>
        <item m="1" x="242"/>
        <item m="1" x="122"/>
        <item m="1" x="138"/>
        <item m="1" x="160"/>
        <item m="1" x="180"/>
        <item m="1" x="165"/>
        <item m="1" x="248"/>
        <item m="1" x="124"/>
        <item m="1" x="130"/>
        <item m="1" x="166"/>
        <item m="1" x="133"/>
        <item m="1" x="204"/>
        <item m="1" x="247"/>
        <item m="1" x="187"/>
        <item m="1" x="167"/>
        <item m="1" x="136"/>
        <item m="1" x="162"/>
        <item m="1" x="243"/>
        <item m="1" x="244"/>
        <item m="1" x="209"/>
        <item m="1" x="188"/>
        <item m="1" x="158"/>
        <item m="1" x="246"/>
        <item m="1" x="198"/>
        <item m="1" x="176"/>
        <item m="1" x="174"/>
        <item m="1" x="225"/>
        <item m="1" x="218"/>
        <item m="1" x="146"/>
        <item m="1" x="196"/>
        <item m="1" x="233"/>
        <item m="1" x="164"/>
        <item m="1" x="121"/>
        <item m="1" x="134"/>
        <item m="1" x="168"/>
        <item m="1" x="217"/>
        <item m="1" x="145"/>
        <item m="1" x="245"/>
        <item m="1" x="141"/>
        <item m="1" x="135"/>
        <item m="1" x="171"/>
        <item m="1" x="154"/>
        <item m="1" x="150"/>
        <item m="1" x="178"/>
        <item m="1" x="223"/>
        <item m="1" x="177"/>
        <item m="1" x="131"/>
        <item m="1" x="148"/>
        <item m="1" x="173"/>
        <item m="1" x="137"/>
        <item m="1" x="227"/>
        <item m="1" x="181"/>
        <item m="1" x="129"/>
        <item m="1" x="207"/>
        <item m="1" x="149"/>
        <item m="1" x="139"/>
        <item m="1" x="125"/>
        <item m="1" x="151"/>
        <item m="1" x="199"/>
        <item m="1" x="161"/>
        <item m="1" x="193"/>
        <item m="1" x="239"/>
        <item m="1" x="153"/>
        <item m="1" x="213"/>
        <item m="1" x="235"/>
        <item m="1" x="220"/>
        <item m="1" x="182"/>
        <item m="1" x="132"/>
        <item m="1" x="123"/>
        <item m="1" x="231"/>
        <item m="1" x="144"/>
        <item m="1" x="236"/>
        <item m="1" x="191"/>
        <item m="1" x="241"/>
        <item m="1" x="216"/>
        <item m="1" x="224"/>
        <item m="1" x="194"/>
        <item m="1" x="205"/>
        <item m="1" x="206"/>
        <item m="1" x="147"/>
        <item m="1" x="212"/>
        <item m="1" x="189"/>
        <item m="1" x="192"/>
        <item m="1" x="140"/>
        <item m="1" x="143"/>
        <item m="1" x="222"/>
        <item m="1" x="186"/>
        <item m="1" x="229"/>
        <item m="1" x="228"/>
        <item m="1" x="169"/>
        <item m="1" x="185"/>
        <item m="1" x="215"/>
        <item m="1" x="184"/>
        <item m="1" x="237"/>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pivotField>
    <pivotField axis="axisRow" outline="0" showAll="0" defaultSubtotal="0">
      <items count="16">
        <item m="1" x="10"/>
        <item m="1" x="9"/>
        <item m="1" x="13"/>
        <item m="1" x="12"/>
        <item m="1" x="15"/>
        <item m="1" x="11"/>
        <item m="1" x="8"/>
        <item m="1" x="14"/>
        <item x="0"/>
        <item x="1"/>
        <item x="2"/>
        <item x="3"/>
        <item x="4"/>
        <item x="5"/>
        <item x="6"/>
        <item x="7"/>
      </items>
    </pivotField>
    <pivotField showAll="0">
      <items count="12">
        <item x="8"/>
        <item x="4"/>
        <item x="0"/>
        <item x="6"/>
        <item x="2"/>
        <item x="10"/>
        <item x="1"/>
        <item x="3"/>
        <item x="7"/>
        <item x="5"/>
        <item x="9"/>
        <item t="default"/>
      </items>
    </pivotField>
    <pivotField showAll="0"/>
    <pivotField showAll="0">
      <items count="6">
        <item x="2"/>
        <item m="1" x="4"/>
        <item x="0"/>
        <item x="1"/>
        <item m="1" x="3"/>
        <item t="default"/>
      </items>
    </pivotField>
    <pivotField showAll="0"/>
    <pivotField showAll="0" defaultSubtotal="0">
      <items count="4">
        <item m="1" x="3"/>
        <item x="2"/>
        <item x="0"/>
        <item x="1"/>
      </items>
    </pivotField>
    <pivotField showAll="0"/>
    <pivotField showAll="0"/>
    <pivotField showAll="0"/>
    <pivotField numFmtId="17" showAll="0" defaultSubtotal="0"/>
    <pivotField numFmtId="17" showAll="0" defaultSubtotal="0"/>
    <pivotField showAll="0"/>
    <pivotField showAll="0"/>
    <pivotField axis="axisRow" showAll="0" defaultSubtotal="0">
      <items count="4">
        <item m="1" x="3"/>
        <item x="1"/>
        <item x="0"/>
        <item x="2"/>
      </items>
    </pivotField>
  </pivotFields>
  <rowFields count="3">
    <field x="2"/>
    <field x="1"/>
    <field x="15"/>
  </rowFields>
  <rowItems count="122">
    <i>
      <x v="8"/>
      <x v="129"/>
      <x v="2"/>
    </i>
    <i r="1">
      <x v="130"/>
      <x v="2"/>
    </i>
    <i r="1">
      <x v="131"/>
      <x v="2"/>
    </i>
    <i r="1">
      <x v="132"/>
      <x v="2"/>
    </i>
    <i r="1">
      <x v="133"/>
      <x v="2"/>
    </i>
    <i r="1">
      <x v="134"/>
      <x v="2"/>
    </i>
    <i r="1">
      <x v="135"/>
      <x v="2"/>
    </i>
    <i r="1">
      <x v="136"/>
      <x v="2"/>
    </i>
    <i r="1">
      <x v="137"/>
      <x v="2"/>
    </i>
    <i r="1">
      <x v="138"/>
      <x v="2"/>
    </i>
    <i r="1">
      <x v="139"/>
      <x v="2"/>
    </i>
    <i r="1">
      <x v="140"/>
      <x v="2"/>
    </i>
    <i r="1">
      <x v="141"/>
      <x v="2"/>
    </i>
    <i r="1">
      <x v="142"/>
      <x v="2"/>
    </i>
    <i r="1">
      <x v="143"/>
      <x v="2"/>
    </i>
    <i r="1">
      <x v="144"/>
      <x v="2"/>
    </i>
    <i r="1">
      <x v="145"/>
      <x v="2"/>
    </i>
    <i r="1">
      <x v="146"/>
      <x v="2"/>
    </i>
    <i r="1">
      <x v="147"/>
      <x v="2"/>
    </i>
    <i r="1">
      <x v="148"/>
      <x v="2"/>
    </i>
    <i r="1">
      <x v="149"/>
      <x v="2"/>
    </i>
    <i r="1">
      <x v="150"/>
      <x v="2"/>
    </i>
    <i r="1">
      <x v="151"/>
      <x v="2"/>
    </i>
    <i r="1">
      <x v="152"/>
      <x v="2"/>
    </i>
    <i r="1">
      <x v="153"/>
      <x v="2"/>
    </i>
    <i r="1">
      <x v="154"/>
      <x v="2"/>
    </i>
    <i r="1">
      <x v="155"/>
      <x v="2"/>
    </i>
    <i r="1">
      <x v="156"/>
      <x v="2"/>
    </i>
    <i>
      <x v="9"/>
      <x v="157"/>
      <x v="2"/>
    </i>
    <i r="1">
      <x v="158"/>
      <x v="2"/>
    </i>
    <i r="1">
      <x v="159"/>
      <x v="2"/>
    </i>
    <i r="1">
      <x v="160"/>
      <x v="2"/>
    </i>
    <i r="1">
      <x v="161"/>
      <x v="1"/>
    </i>
    <i r="1">
      <x v="162"/>
      <x v="2"/>
    </i>
    <i r="1">
      <x v="163"/>
      <x v="2"/>
    </i>
    <i r="1">
      <x v="164"/>
      <x v="2"/>
    </i>
    <i r="1">
      <x v="165"/>
      <x v="2"/>
    </i>
    <i r="1">
      <x v="166"/>
      <x v="1"/>
    </i>
    <i r="1">
      <x v="167"/>
      <x v="2"/>
    </i>
    <i>
      <x v="10"/>
      <x v="168"/>
      <x v="2"/>
    </i>
    <i r="1">
      <x v="169"/>
      <x v="2"/>
    </i>
    <i r="1">
      <x v="170"/>
      <x v="2"/>
    </i>
    <i r="1">
      <x v="171"/>
      <x v="2"/>
    </i>
    <i r="1">
      <x v="172"/>
      <x v="2"/>
    </i>
    <i r="1">
      <x v="174"/>
      <x v="2"/>
    </i>
    <i r="1">
      <x v="175"/>
      <x v="2"/>
    </i>
    <i r="1">
      <x v="176"/>
      <x v="2"/>
    </i>
    <i r="1">
      <x v="177"/>
      <x v="2"/>
    </i>
    <i>
      <x v="11"/>
      <x v="173"/>
      <x v="2"/>
    </i>
    <i r="1">
      <x v="227"/>
      <x v="2"/>
    </i>
    <i r="1">
      <x v="228"/>
      <x v="2"/>
    </i>
    <i r="1">
      <x v="229"/>
      <x v="2"/>
    </i>
    <i r="1">
      <x v="230"/>
      <x v="2"/>
    </i>
    <i r="1">
      <x v="231"/>
      <x v="2"/>
    </i>
    <i r="1">
      <x v="232"/>
      <x v="2"/>
    </i>
    <i r="1">
      <x v="233"/>
      <x v="2"/>
    </i>
    <i r="1">
      <x v="234"/>
      <x v="2"/>
    </i>
    <i r="1">
      <x v="235"/>
      <x v="2"/>
    </i>
    <i r="1">
      <x v="236"/>
      <x v="2"/>
    </i>
    <i r="1">
      <x v="237"/>
      <x v="2"/>
    </i>
    <i r="1">
      <x v="238"/>
      <x v="2"/>
    </i>
    <i r="1">
      <x v="239"/>
      <x v="2"/>
    </i>
    <i r="1">
      <x v="240"/>
      <x v="2"/>
    </i>
    <i r="1">
      <x v="241"/>
      <x v="2"/>
    </i>
    <i r="1">
      <x v="242"/>
      <x v="2"/>
    </i>
    <i r="1">
      <x v="243"/>
      <x v="2"/>
    </i>
    <i r="1">
      <x v="244"/>
      <x v="2"/>
    </i>
    <i r="1">
      <x v="245"/>
      <x v="2"/>
    </i>
    <i r="1">
      <x v="246"/>
      <x v="2"/>
    </i>
    <i r="1">
      <x v="247"/>
      <x v="2"/>
    </i>
    <i r="1">
      <x v="248"/>
      <x v="2"/>
    </i>
    <i r="1">
      <x v="249"/>
      <x v="2"/>
    </i>
    <i>
      <x v="12"/>
      <x v="178"/>
      <x v="2"/>
    </i>
    <i r="1">
      <x v="179"/>
      <x v="2"/>
    </i>
    <i r="1">
      <x v="180"/>
      <x v="2"/>
    </i>
    <i r="1">
      <x v="181"/>
      <x v="2"/>
    </i>
    <i r="1">
      <x v="182"/>
      <x v="2"/>
    </i>
    <i r="1">
      <x v="183"/>
      <x v="2"/>
    </i>
    <i r="1">
      <x v="184"/>
      <x v="2"/>
    </i>
    <i r="1">
      <x v="185"/>
      <x v="2"/>
    </i>
    <i r="1">
      <x v="186"/>
      <x v="2"/>
    </i>
    <i>
      <x v="13"/>
      <x v="187"/>
      <x v="2"/>
    </i>
    <i r="1">
      <x v="188"/>
      <x v="2"/>
    </i>
    <i r="1">
      <x v="189"/>
      <x v="2"/>
    </i>
    <i r="1">
      <x v="190"/>
      <x v="2"/>
    </i>
    <i r="1">
      <x v="191"/>
      <x v="2"/>
    </i>
    <i r="1">
      <x v="192"/>
      <x v="2"/>
    </i>
    <i r="1">
      <x v="193"/>
      <x v="2"/>
    </i>
    <i r="1">
      <x v="194"/>
      <x v="2"/>
    </i>
    <i r="1">
      <x v="195"/>
      <x v="2"/>
    </i>
    <i r="1">
      <x v="196"/>
      <x v="3"/>
    </i>
    <i r="1">
      <x v="197"/>
      <x v="2"/>
    </i>
    <i>
      <x v="14"/>
      <x v="198"/>
      <x v="2"/>
    </i>
    <i r="1">
      <x v="199"/>
      <x v="2"/>
    </i>
    <i r="1">
      <x v="200"/>
      <x v="2"/>
    </i>
    <i r="1">
      <x v="201"/>
      <x v="2"/>
    </i>
    <i r="1">
      <x v="202"/>
      <x v="2"/>
    </i>
    <i r="1">
      <x v="203"/>
      <x v="2"/>
    </i>
    <i r="1">
      <x v="204"/>
      <x v="2"/>
    </i>
    <i r="1">
      <x v="205"/>
      <x v="2"/>
    </i>
    <i r="1">
      <x v="206"/>
      <x v="2"/>
    </i>
    <i r="1">
      <x v="207"/>
      <x v="2"/>
    </i>
    <i r="1">
      <x v="208"/>
      <x v="2"/>
    </i>
    <i r="1">
      <x v="209"/>
      <x v="2"/>
    </i>
    <i r="1">
      <x v="210"/>
      <x v="2"/>
    </i>
    <i r="1">
      <x v="211"/>
      <x v="2"/>
    </i>
    <i r="1">
      <x v="212"/>
      <x v="2"/>
    </i>
    <i r="1">
      <x v="213"/>
      <x v="2"/>
    </i>
    <i r="1">
      <x v="214"/>
      <x v="2"/>
    </i>
    <i r="1">
      <x v="215"/>
      <x v="2"/>
    </i>
    <i r="1">
      <x v="216"/>
      <x v="2"/>
    </i>
    <i r="1">
      <x v="217"/>
      <x v="2"/>
    </i>
    <i>
      <x v="15"/>
      <x v="218"/>
      <x v="2"/>
    </i>
    <i r="1">
      <x v="219"/>
      <x v="2"/>
    </i>
    <i r="1">
      <x v="220"/>
      <x v="2"/>
    </i>
    <i r="1">
      <x v="221"/>
      <x v="2"/>
    </i>
    <i r="1">
      <x v="222"/>
      <x v="2"/>
    </i>
    <i r="1">
      <x v="223"/>
      <x v="2"/>
    </i>
    <i r="1">
      <x v="224"/>
      <x v="2"/>
    </i>
    <i r="1">
      <x v="225"/>
      <x v="2"/>
    </i>
    <i r="1">
      <x v="226"/>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5"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G125" firstHeaderRow="1" firstDataRow="1" firstDataCol="7"/>
  <pivotFields count="16">
    <pivotField showAll="0"/>
    <pivotField axis="axisRow" outline="0" showAll="0" defaultSubtotal="0">
      <items count="250">
        <item m="1" x="202"/>
        <item m="1" x="232"/>
        <item m="1" x="195"/>
        <item m="1" x="208"/>
        <item m="1" x="157"/>
        <item m="1" x="219"/>
        <item m="1" x="221"/>
        <item m="1" x="211"/>
        <item m="1" x="234"/>
        <item m="1" x="163"/>
        <item m="1" x="200"/>
        <item m="1" x="230"/>
        <item m="1" x="238"/>
        <item m="1" x="249"/>
        <item m="1" x="210"/>
        <item m="1" x="170"/>
        <item m="1" x="201"/>
        <item m="1" x="172"/>
        <item m="1" x="127"/>
        <item m="1" x="190"/>
        <item m="1" x="183"/>
        <item m="1" x="152"/>
        <item m="1" x="155"/>
        <item m="1" x="142"/>
        <item m="1" x="159"/>
        <item m="1" x="197"/>
        <item m="1" x="156"/>
        <item m="1" x="214"/>
        <item m="1" x="175"/>
        <item m="1" x="240"/>
        <item m="1" x="203"/>
        <item m="1" x="128"/>
        <item m="1" x="226"/>
        <item m="1" x="179"/>
        <item m="1" x="242"/>
        <item m="1" x="122"/>
        <item m="1" x="138"/>
        <item m="1" x="160"/>
        <item m="1" x="180"/>
        <item m="1" x="165"/>
        <item m="1" x="248"/>
        <item m="1" x="124"/>
        <item m="1" x="130"/>
        <item m="1" x="166"/>
        <item m="1" x="133"/>
        <item m="1" x="204"/>
        <item m="1" x="247"/>
        <item m="1" x="187"/>
        <item m="1" x="167"/>
        <item m="1" x="136"/>
        <item m="1" x="162"/>
        <item m="1" x="243"/>
        <item m="1" x="244"/>
        <item m="1" x="209"/>
        <item m="1" x="188"/>
        <item m="1" x="158"/>
        <item m="1" x="246"/>
        <item m="1" x="198"/>
        <item m="1" x="176"/>
        <item m="1" x="174"/>
        <item m="1" x="225"/>
        <item m="1" x="218"/>
        <item m="1" x="146"/>
        <item m="1" x="196"/>
        <item m="1" x="233"/>
        <item m="1" x="164"/>
        <item m="1" x="121"/>
        <item m="1" x="134"/>
        <item m="1" x="168"/>
        <item m="1" x="217"/>
        <item m="1" x="145"/>
        <item m="1" x="245"/>
        <item m="1" x="141"/>
        <item m="1" x="135"/>
        <item m="1" x="171"/>
        <item m="1" x="154"/>
        <item m="1" x="150"/>
        <item m="1" x="178"/>
        <item m="1" x="223"/>
        <item m="1" x="177"/>
        <item m="1" x="131"/>
        <item m="1" x="148"/>
        <item m="1" x="173"/>
        <item m="1" x="137"/>
        <item m="1" x="227"/>
        <item m="1" x="181"/>
        <item m="1" x="129"/>
        <item m="1" x="207"/>
        <item m="1" x="149"/>
        <item m="1" x="139"/>
        <item m="1" x="125"/>
        <item m="1" x="151"/>
        <item m="1" x="199"/>
        <item m="1" x="161"/>
        <item m="1" x="193"/>
        <item m="1" x="239"/>
        <item m="1" x="153"/>
        <item m="1" x="213"/>
        <item m="1" x="235"/>
        <item m="1" x="220"/>
        <item m="1" x="182"/>
        <item m="1" x="132"/>
        <item m="1" x="123"/>
        <item m="1" x="231"/>
        <item m="1" x="144"/>
        <item m="1" x="236"/>
        <item m="1" x="191"/>
        <item m="1" x="241"/>
        <item m="1" x="216"/>
        <item m="1" x="224"/>
        <item m="1" x="194"/>
        <item m="1" x="205"/>
        <item m="1" x="206"/>
        <item m="1" x="147"/>
        <item m="1" x="212"/>
        <item m="1" x="189"/>
        <item m="1" x="192"/>
        <item m="1" x="140"/>
        <item m="1" x="143"/>
        <item m="1" x="222"/>
        <item m="1" x="186"/>
        <item m="1" x="229"/>
        <item m="1" x="228"/>
        <item m="1" x="169"/>
        <item m="1" x="185"/>
        <item m="1" x="215"/>
        <item m="1" x="184"/>
        <item m="1" x="237"/>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pivotField>
    <pivotField showAll="0">
      <items count="17">
        <item m="1" x="10"/>
        <item m="1" x="14"/>
        <item m="1" x="9"/>
        <item m="1" x="13"/>
        <item m="1" x="12"/>
        <item m="1" x="15"/>
        <item x="0"/>
        <item x="1"/>
        <item x="2"/>
        <item x="4"/>
        <item x="5"/>
        <item x="6"/>
        <item x="7"/>
        <item x="3"/>
        <item m="1" x="11"/>
        <item m="1" x="8"/>
        <item t="default"/>
      </items>
    </pivotField>
    <pivotField axis="axisRow" showAll="0">
      <items count="12">
        <item x="8"/>
        <item x="4"/>
        <item x="0"/>
        <item x="6"/>
        <item x="2"/>
        <item x="10"/>
        <item x="1"/>
        <item x="3"/>
        <item x="7"/>
        <item x="5"/>
        <item x="9"/>
        <item t="default"/>
      </items>
    </pivotField>
    <pivotField axis="axisRow" outline="0" showAll="0" defaultSubtotal="0">
      <items count="11">
        <item x="0"/>
        <item x="2"/>
        <item x="3"/>
        <item x="6"/>
        <item x="10"/>
        <item x="8"/>
        <item x="9"/>
        <item x="7"/>
        <item x="1"/>
        <item x="5"/>
        <item x="4"/>
      </items>
    </pivotField>
    <pivotField showAll="0">
      <items count="6">
        <item x="2"/>
        <item m="1" x="4"/>
        <item x="0"/>
        <item x="1"/>
        <item m="1" x="3"/>
        <item t="default"/>
      </items>
    </pivotField>
    <pivotField axis="axisRow" outline="0" showAll="0" defaultSubtotal="0">
      <items count="8">
        <item x="2"/>
        <item x="4"/>
        <item x="5"/>
        <item x="1"/>
        <item x="6"/>
        <item x="0"/>
        <item x="3"/>
        <item m="1" x="7"/>
      </items>
    </pivotField>
    <pivotField axis="axisRow" outline="0" showAll="0" defaultSubtotal="0">
      <items count="4">
        <item x="2"/>
        <item x="0"/>
        <item x="1"/>
        <item m="1" x="3"/>
      </items>
    </pivotField>
    <pivotField showAll="0"/>
    <pivotField showAll="0"/>
    <pivotField showAll="0"/>
    <pivotField numFmtId="17" showAll="0" defaultSubtotal="0"/>
    <pivotField numFmtId="17" showAll="0" defaultSubtotal="0"/>
    <pivotField axis="axisRow" outline="0" showAll="0" defaultSubtotal="0">
      <items count="32">
        <item m="1" x="22"/>
        <item m="1" x="24"/>
        <item m="1" x="19"/>
        <item m="1" x="28"/>
        <item m="1" x="21"/>
        <item m="1" x="29"/>
        <item m="1" x="26"/>
        <item m="1" x="30"/>
        <item m="1" x="25"/>
        <item m="1" x="27"/>
        <item m="1" x="23"/>
        <item m="1" x="20"/>
        <item m="1" x="31"/>
        <item x="0"/>
        <item x="1"/>
        <item x="2"/>
        <item x="3"/>
        <item x="4"/>
        <item x="5"/>
        <item x="6"/>
        <item x="7"/>
        <item x="8"/>
        <item x="9"/>
        <item x="10"/>
        <item x="11"/>
        <item x="12"/>
        <item x="13"/>
        <item x="14"/>
        <item x="15"/>
        <item x="16"/>
        <item x="17"/>
        <item x="18"/>
      </items>
    </pivotField>
    <pivotField axis="axisRow" outline="0" showAll="0" defaultSubtotal="0">
      <items count="44">
        <item x="0"/>
        <item m="1" x="25"/>
        <item m="1" x="38"/>
        <item m="1" x="5"/>
        <item m="1" x="40"/>
        <item m="1" x="27"/>
        <item m="1" x="17"/>
        <item m="1" x="41"/>
        <item m="1" x="13"/>
        <item m="1" x="4"/>
        <item m="1" x="43"/>
        <item m="1" x="24"/>
        <item m="1" x="1"/>
        <item m="1" x="39"/>
        <item m="1" x="21"/>
        <item m="1" x="8"/>
        <item m="1" x="3"/>
        <item m="1" x="12"/>
        <item m="1" x="19"/>
        <item m="1" x="9"/>
        <item m="1" x="32"/>
        <item m="1" x="11"/>
        <item m="1" x="23"/>
        <item m="1" x="20"/>
        <item m="1" x="36"/>
        <item m="1" x="30"/>
        <item m="1" x="16"/>
        <item m="1" x="28"/>
        <item m="1" x="22"/>
        <item m="1" x="29"/>
        <item m="1" x="42"/>
        <item m="1" x="6"/>
        <item m="1" x="31"/>
        <item m="1" x="14"/>
        <item m="1" x="7"/>
        <item m="1" x="18"/>
        <item m="1" x="37"/>
        <item m="1" x="15"/>
        <item m="1" x="34"/>
        <item m="1" x="26"/>
        <item m="1" x="33"/>
        <item m="1" x="10"/>
        <item m="1" x="35"/>
        <item m="1" x="2"/>
      </items>
    </pivotField>
    <pivotField showAll="0" defaultSubtotal="0">
      <items count="4">
        <item x="2"/>
        <item m="1" x="3"/>
        <item x="1"/>
        <item x="0"/>
      </items>
    </pivotField>
  </pivotFields>
  <rowFields count="7">
    <field x="1"/>
    <field x="13"/>
    <field x="14"/>
    <field x="6"/>
    <field x="7"/>
    <field x="4"/>
    <field x="3"/>
  </rowFields>
  <rowItems count="122">
    <i>
      <x v="129"/>
      <x v="13"/>
      <x/>
      <x v="5"/>
      <x v="1"/>
      <x/>
      <x v="2"/>
    </i>
    <i>
      <x v="130"/>
      <x v="14"/>
      <x/>
      <x v="3"/>
      <x v="1"/>
      <x/>
      <x v="2"/>
    </i>
    <i>
      <x v="131"/>
      <x v="15"/>
      <x/>
      <x v="3"/>
      <x v="2"/>
      <x/>
      <x v="6"/>
    </i>
    <i>
      <x v="132"/>
      <x v="16"/>
      <x/>
      <x/>
      <x v="2"/>
      <x/>
      <x v="4"/>
    </i>
    <i>
      <x v="133"/>
      <x v="17"/>
      <x/>
      <x v="6"/>
      <x v="2"/>
      <x/>
      <x v="6"/>
    </i>
    <i>
      <x v="134"/>
      <x v="18"/>
      <x/>
      <x v="6"/>
      <x v="2"/>
      <x/>
      <x v="6"/>
    </i>
    <i>
      <x v="135"/>
      <x v="19"/>
      <x/>
      <x v="3"/>
      <x v="2"/>
      <x/>
      <x v="6"/>
    </i>
    <i>
      <x v="136"/>
      <x v="20"/>
      <x/>
      <x v="3"/>
      <x v="1"/>
      <x/>
      <x v="6"/>
    </i>
    <i>
      <x v="137"/>
      <x v="14"/>
      <x/>
      <x v="6"/>
      <x v="2"/>
      <x/>
      <x v="6"/>
    </i>
    <i>
      <x v="138"/>
      <x v="20"/>
      <x/>
      <x v="6"/>
      <x v="2"/>
      <x/>
      <x v="6"/>
    </i>
    <i>
      <x v="139"/>
      <x v="20"/>
      <x/>
      <x v="6"/>
      <x v="2"/>
      <x/>
      <x v="6"/>
    </i>
    <i>
      <x v="140"/>
      <x v="21"/>
      <x/>
      <x v="6"/>
      <x v="2"/>
      <x/>
      <x v="6"/>
    </i>
    <i>
      <x v="141"/>
      <x v="14"/>
      <x/>
      <x v="3"/>
      <x v="2"/>
      <x/>
      <x v="2"/>
    </i>
    <i>
      <x v="142"/>
      <x v="22"/>
      <x/>
      <x/>
      <x v="2"/>
      <x/>
      <x v="4"/>
    </i>
    <i>
      <x v="143"/>
      <x v="22"/>
      <x/>
      <x v="1"/>
      <x v="2"/>
      <x v="8"/>
      <x v="2"/>
    </i>
    <i>
      <x v="144"/>
      <x v="23"/>
      <x/>
      <x v="6"/>
      <x v="2"/>
      <x v="8"/>
      <x v="2"/>
    </i>
    <i>
      <x v="145"/>
      <x v="15"/>
      <x/>
      <x v="6"/>
      <x v="2"/>
      <x v="8"/>
      <x v="2"/>
    </i>
    <i>
      <x v="146"/>
      <x v="22"/>
      <x/>
      <x v="6"/>
      <x v="2"/>
      <x v="8"/>
      <x v="2"/>
    </i>
    <i>
      <x v="147"/>
      <x v="17"/>
      <x/>
      <x v="5"/>
      <x v="2"/>
      <x v="8"/>
      <x v="6"/>
    </i>
    <i>
      <x v="148"/>
      <x v="14"/>
      <x/>
      <x v="3"/>
      <x v="2"/>
      <x v="8"/>
      <x v="2"/>
    </i>
    <i>
      <x v="149"/>
      <x v="13"/>
      <x/>
      <x v="3"/>
      <x v="2"/>
      <x v="8"/>
      <x v="6"/>
    </i>
    <i>
      <x v="150"/>
      <x v="24"/>
      <x/>
      <x v="5"/>
      <x v="2"/>
      <x v="8"/>
      <x v="6"/>
    </i>
    <i>
      <x v="151"/>
      <x v="25"/>
      <x/>
      <x v="6"/>
      <x v="2"/>
      <x v="8"/>
      <x v="6"/>
    </i>
    <i>
      <x v="152"/>
      <x v="17"/>
      <x/>
      <x v="6"/>
      <x v="2"/>
      <x v="8"/>
      <x v="6"/>
    </i>
    <i>
      <x v="153"/>
      <x v="24"/>
      <x/>
      <x v="6"/>
      <x v="1"/>
      <x v="8"/>
      <x v="6"/>
    </i>
    <i>
      <x v="154"/>
      <x v="20"/>
      <x/>
      <x v="6"/>
      <x v="1"/>
      <x v="8"/>
      <x v="6"/>
    </i>
    <i>
      <x v="155"/>
      <x v="26"/>
      <x/>
      <x v="6"/>
      <x v="1"/>
      <x v="8"/>
      <x v="6"/>
    </i>
    <i>
      <x v="156"/>
      <x v="19"/>
      <x/>
      <x v="6"/>
      <x v="2"/>
      <x v="8"/>
      <x v="2"/>
    </i>
    <i>
      <x v="157"/>
      <x v="21"/>
      <x/>
      <x v="5"/>
      <x v="1"/>
      <x v="1"/>
      <x v="6"/>
    </i>
    <i>
      <x v="158"/>
      <x v="14"/>
      <x/>
      <x v="5"/>
      <x v="2"/>
      <x v="2"/>
      <x v="6"/>
    </i>
    <i>
      <x v="159"/>
      <x v="22"/>
      <x/>
      <x/>
      <x v="1"/>
      <x v="1"/>
      <x v="6"/>
    </i>
    <i>
      <x v="160"/>
      <x v="13"/>
      <x/>
      <x v="5"/>
      <x v="2"/>
      <x v="2"/>
      <x v="6"/>
    </i>
    <i>
      <x v="161"/>
      <x v="23"/>
      <x/>
      <x v="5"/>
      <x v="2"/>
      <x v="2"/>
      <x v="6"/>
    </i>
    <i>
      <x v="162"/>
      <x v="25"/>
      <x/>
      <x v="3"/>
      <x v="2"/>
      <x v="1"/>
      <x v="6"/>
    </i>
    <i>
      <x v="163"/>
      <x v="27"/>
      <x/>
      <x v="5"/>
      <x v="2"/>
      <x v="1"/>
      <x v="6"/>
    </i>
    <i>
      <x v="164"/>
      <x v="20"/>
      <x/>
      <x v="5"/>
      <x v="2"/>
      <x v="2"/>
      <x v="6"/>
    </i>
    <i>
      <x v="165"/>
      <x v="28"/>
      <x/>
      <x v="5"/>
      <x v="2"/>
      <x v="1"/>
      <x v="6"/>
    </i>
    <i>
      <x v="166"/>
      <x v="18"/>
      <x/>
      <x v="5"/>
      <x v="2"/>
      <x v="1"/>
      <x v="6"/>
    </i>
    <i>
      <x v="167"/>
      <x v="13"/>
      <x/>
      <x v="6"/>
      <x v="2"/>
      <x v="1"/>
      <x v="6"/>
    </i>
    <i>
      <x v="168"/>
      <x v="26"/>
      <x/>
      <x v="6"/>
      <x v="1"/>
      <x v="10"/>
      <x v="2"/>
    </i>
    <i>
      <x v="169"/>
      <x v="23"/>
      <x/>
      <x v="6"/>
      <x v="1"/>
      <x v="10"/>
      <x v="2"/>
    </i>
    <i>
      <x v="170"/>
      <x v="29"/>
      <x/>
      <x v="6"/>
      <x v="1"/>
      <x v="10"/>
      <x v="2"/>
    </i>
    <i>
      <x v="171"/>
      <x v="16"/>
      <x/>
      <x v="6"/>
      <x v="1"/>
      <x v="10"/>
      <x v="2"/>
    </i>
    <i>
      <x v="172"/>
      <x v="21"/>
      <x/>
      <x v="6"/>
      <x v="1"/>
      <x v="10"/>
      <x v="2"/>
    </i>
    <i>
      <x v="173"/>
      <x v="20"/>
      <x/>
      <x v="6"/>
      <x v="1"/>
      <x v="9"/>
      <x v="2"/>
    </i>
    <i>
      <x v="174"/>
      <x v="17"/>
      <x/>
      <x v="5"/>
      <x v="1"/>
      <x v="10"/>
      <x v="7"/>
    </i>
    <i>
      <x v="175"/>
      <x v="21"/>
      <x/>
      <x v="5"/>
      <x v="2"/>
      <x v="10"/>
      <x v="7"/>
    </i>
    <i>
      <x v="176"/>
      <x v="19"/>
      <x/>
      <x v="5"/>
      <x v="2"/>
      <x v="10"/>
      <x v="7"/>
    </i>
    <i>
      <x v="177"/>
      <x v="27"/>
      <x/>
      <x v="1"/>
      <x v="2"/>
      <x v="10"/>
      <x v="7"/>
    </i>
    <i>
      <x v="178"/>
      <x v="18"/>
      <x/>
      <x v="1"/>
      <x v="2"/>
      <x v="3"/>
      <x v="1"/>
    </i>
    <i>
      <x v="179"/>
      <x v="27"/>
      <x/>
      <x/>
      <x v="2"/>
      <x v="3"/>
      <x v="1"/>
    </i>
    <i>
      <x v="180"/>
      <x v="25"/>
      <x/>
      <x v="2"/>
      <x v="2"/>
      <x v="3"/>
      <x v="1"/>
    </i>
    <i>
      <x v="181"/>
      <x v="22"/>
      <x/>
      <x v="1"/>
      <x/>
      <x v="3"/>
      <x v="4"/>
    </i>
    <i>
      <x v="182"/>
      <x v="18"/>
      <x/>
      <x v="1"/>
      <x v="2"/>
      <x v="3"/>
      <x v="4"/>
    </i>
    <i>
      <x v="183"/>
      <x v="14"/>
      <x/>
      <x v="1"/>
      <x v="2"/>
      <x v="3"/>
      <x v="1"/>
    </i>
    <i>
      <x v="184"/>
      <x v="21"/>
      <x/>
      <x v="3"/>
      <x v="2"/>
      <x v="3"/>
      <x v="4"/>
    </i>
    <i>
      <x v="185"/>
      <x v="20"/>
      <x/>
      <x v="2"/>
      <x v="2"/>
      <x v="3"/>
      <x v="4"/>
    </i>
    <i>
      <x v="186"/>
      <x v="13"/>
      <x/>
      <x v="2"/>
      <x v="2"/>
      <x v="3"/>
      <x v="4"/>
    </i>
    <i>
      <x v="187"/>
      <x v="24"/>
      <x/>
      <x v="3"/>
      <x v="2"/>
      <x v="7"/>
      <x v="9"/>
    </i>
    <i>
      <x v="188"/>
      <x v="28"/>
      <x/>
      <x v="2"/>
      <x v="2"/>
      <x v="7"/>
      <x v="9"/>
    </i>
    <i>
      <x v="189"/>
      <x v="15"/>
      <x/>
      <x v="1"/>
      <x v="2"/>
      <x v="7"/>
      <x v="3"/>
    </i>
    <i>
      <x v="190"/>
      <x v="17"/>
      <x/>
      <x v="2"/>
      <x v="2"/>
      <x v="7"/>
      <x v="9"/>
    </i>
    <i>
      <x v="191"/>
      <x v="20"/>
      <x/>
      <x v="1"/>
      <x v="1"/>
      <x v="7"/>
      <x v="9"/>
    </i>
    <i>
      <x v="192"/>
      <x v="30"/>
      <x/>
      <x v="1"/>
      <x v="2"/>
      <x v="7"/>
      <x v="9"/>
    </i>
    <i>
      <x v="193"/>
      <x v="21"/>
      <x/>
      <x v="1"/>
      <x v="1"/>
      <x v="7"/>
      <x v="9"/>
    </i>
    <i>
      <x v="194"/>
      <x v="30"/>
      <x/>
      <x v="2"/>
      <x v="2"/>
      <x v="7"/>
      <x v="9"/>
    </i>
    <i>
      <x v="195"/>
      <x v="20"/>
      <x/>
      <x v="6"/>
      <x v="1"/>
      <x v="7"/>
      <x v="3"/>
    </i>
    <i>
      <x v="196"/>
      <x v="26"/>
      <x/>
      <x v="6"/>
      <x v="1"/>
      <x v="7"/>
      <x v="3"/>
    </i>
    <i>
      <x v="197"/>
      <x v="27"/>
      <x/>
      <x v="3"/>
      <x v="2"/>
      <x v="7"/>
      <x v="3"/>
    </i>
    <i>
      <x v="198"/>
      <x v="18"/>
      <x/>
      <x v="4"/>
      <x v="2"/>
      <x v="5"/>
      <x v="8"/>
    </i>
    <i>
      <x v="199"/>
      <x v="15"/>
      <x/>
      <x/>
      <x v="2"/>
      <x v="5"/>
      <x v="4"/>
    </i>
    <i>
      <x v="200"/>
      <x v="16"/>
      <x/>
      <x v="3"/>
      <x v="2"/>
      <x v="5"/>
      <x v="4"/>
    </i>
    <i>
      <x v="201"/>
      <x v="25"/>
      <x/>
      <x v="5"/>
      <x v="2"/>
      <x v="5"/>
      <x v="8"/>
    </i>
    <i>
      <x v="202"/>
      <x v="13"/>
      <x/>
      <x v="5"/>
      <x v="2"/>
      <x v="5"/>
      <x/>
    </i>
    <i>
      <x v="203"/>
      <x v="29"/>
      <x/>
      <x/>
      <x v="2"/>
      <x v="5"/>
      <x v="4"/>
    </i>
    <i>
      <x v="204"/>
      <x v="24"/>
      <x/>
      <x/>
      <x v="2"/>
      <x v="5"/>
      <x v="4"/>
    </i>
    <i>
      <x v="205"/>
      <x v="17"/>
      <x/>
      <x v="1"/>
      <x v="2"/>
      <x v="5"/>
      <x v="4"/>
    </i>
    <i>
      <x v="206"/>
      <x v="18"/>
      <x/>
      <x v="2"/>
      <x v="2"/>
      <x v="5"/>
      <x/>
    </i>
    <i>
      <x v="207"/>
      <x v="21"/>
      <x/>
      <x v="5"/>
      <x v="2"/>
      <x v="5"/>
      <x v="8"/>
    </i>
    <i>
      <x v="208"/>
      <x v="21"/>
      <x/>
      <x v="5"/>
      <x v="2"/>
      <x v="5"/>
      <x/>
    </i>
    <i>
      <x v="209"/>
      <x v="30"/>
      <x/>
      <x v="2"/>
      <x v="2"/>
      <x v="6"/>
      <x v="4"/>
    </i>
    <i>
      <x v="210"/>
      <x v="30"/>
      <x/>
      <x v="3"/>
      <x v="2"/>
      <x v="6"/>
      <x v="8"/>
    </i>
    <i>
      <x v="211"/>
      <x v="31"/>
      <x/>
      <x v="5"/>
      <x v="2"/>
      <x v="6"/>
      <x v="8"/>
    </i>
    <i>
      <x v="212"/>
      <x v="19"/>
      <x/>
      <x v="5"/>
      <x v="2"/>
      <x v="6"/>
      <x v="8"/>
    </i>
    <i>
      <x v="213"/>
      <x v="24"/>
      <x/>
      <x/>
      <x v="2"/>
      <x v="6"/>
      <x/>
    </i>
    <i>
      <x v="214"/>
      <x v="27"/>
      <x/>
      <x v="1"/>
      <x v="2"/>
      <x v="6"/>
      <x/>
    </i>
    <i>
      <x v="215"/>
      <x v="14"/>
      <x/>
      <x v="5"/>
      <x v="2"/>
      <x v="6"/>
      <x/>
    </i>
    <i>
      <x v="216"/>
      <x v="18"/>
      <x/>
      <x v="5"/>
      <x v="2"/>
      <x v="6"/>
      <x/>
    </i>
    <i>
      <x v="217"/>
      <x v="15"/>
      <x/>
      <x v="5"/>
      <x v="2"/>
      <x v="6"/>
      <x v="8"/>
    </i>
    <i>
      <x v="218"/>
      <x v="15"/>
      <x/>
      <x/>
      <x v="2"/>
      <x v="4"/>
      <x v="10"/>
    </i>
    <i>
      <x v="219"/>
      <x v="25"/>
      <x/>
      <x/>
      <x v="1"/>
      <x v="4"/>
      <x v="10"/>
    </i>
    <i>
      <x v="220"/>
      <x v="15"/>
      <x/>
      <x/>
      <x v="2"/>
      <x v="4"/>
      <x v="10"/>
    </i>
    <i>
      <x v="221"/>
      <x v="21"/>
      <x/>
      <x/>
      <x v="2"/>
      <x v="4"/>
      <x v="10"/>
    </i>
    <i>
      <x v="222"/>
      <x v="31"/>
      <x/>
      <x/>
      <x v="2"/>
      <x v="4"/>
      <x v="10"/>
    </i>
    <i>
      <x v="223"/>
      <x v="28"/>
      <x/>
      <x v="6"/>
      <x v="2"/>
      <x v="4"/>
      <x v="4"/>
    </i>
    <i>
      <x v="224"/>
      <x v="19"/>
      <x/>
      <x v="6"/>
      <x/>
      <x v="4"/>
      <x v="4"/>
    </i>
    <i>
      <x v="225"/>
      <x v="17"/>
      <x/>
      <x/>
      <x v="2"/>
      <x v="4"/>
      <x v="10"/>
    </i>
    <i>
      <x v="226"/>
      <x v="17"/>
      <x/>
      <x/>
      <x v="2"/>
      <x v="4"/>
      <x v="10"/>
    </i>
    <i>
      <x v="227"/>
      <x v="24"/>
      <x/>
      <x v="2"/>
      <x v="2"/>
      <x v="9"/>
      <x v="5"/>
    </i>
    <i>
      <x v="228"/>
      <x v="21"/>
      <x/>
      <x v="3"/>
      <x v="2"/>
      <x v="9"/>
      <x v="5"/>
    </i>
    <i>
      <x v="229"/>
      <x v="25"/>
      <x/>
      <x v="2"/>
      <x v="2"/>
      <x v="9"/>
      <x v="5"/>
    </i>
    <i>
      <x v="230"/>
      <x v="19"/>
      <x/>
      <x v="2"/>
      <x v="2"/>
      <x v="9"/>
      <x v="5"/>
    </i>
    <i>
      <x v="231"/>
      <x v="20"/>
      <x/>
      <x v="5"/>
      <x v="2"/>
      <x v="9"/>
      <x v="5"/>
    </i>
    <i>
      <x v="232"/>
      <x v="23"/>
      <x/>
      <x v="6"/>
      <x v="1"/>
      <x v="9"/>
      <x v="2"/>
    </i>
    <i>
      <x v="233"/>
      <x v="26"/>
      <x/>
      <x v="6"/>
      <x v="1"/>
      <x v="9"/>
      <x v="2"/>
    </i>
    <i>
      <x v="234"/>
      <x v="22"/>
      <x/>
      <x v="6"/>
      <x v="1"/>
      <x v="9"/>
      <x v="2"/>
    </i>
    <i>
      <x v="235"/>
      <x v="30"/>
      <x/>
      <x v="6"/>
      <x v="1"/>
      <x v="9"/>
      <x v="2"/>
    </i>
    <i>
      <x v="236"/>
      <x v="22"/>
      <x/>
      <x v="6"/>
      <x v="1"/>
      <x v="9"/>
      <x v="2"/>
    </i>
    <i>
      <x v="237"/>
      <x v="18"/>
      <x/>
      <x v="6"/>
      <x v="1"/>
      <x v="9"/>
      <x v="2"/>
    </i>
    <i>
      <x v="238"/>
      <x v="16"/>
      <x/>
      <x v="6"/>
      <x v="1"/>
      <x v="9"/>
      <x v="2"/>
    </i>
    <i>
      <x v="239"/>
      <x v="31"/>
      <x/>
      <x v="6"/>
      <x v="1"/>
      <x v="9"/>
      <x v="2"/>
    </i>
    <i>
      <x v="240"/>
      <x v="18"/>
      <x/>
      <x v="6"/>
      <x v="1"/>
      <x v="9"/>
      <x v="2"/>
    </i>
    <i>
      <x v="241"/>
      <x v="21"/>
      <x/>
      <x v="3"/>
      <x v="2"/>
      <x v="9"/>
      <x v="5"/>
    </i>
    <i>
      <x v="242"/>
      <x v="19"/>
      <x/>
      <x v="5"/>
      <x v="2"/>
      <x v="9"/>
      <x v="5"/>
    </i>
    <i>
      <x v="243"/>
      <x v="19"/>
      <x/>
      <x v="3"/>
      <x v="2"/>
      <x v="9"/>
      <x v="5"/>
    </i>
    <i>
      <x v="244"/>
      <x v="24"/>
      <x/>
      <x v="5"/>
      <x v="2"/>
      <x v="9"/>
      <x v="5"/>
    </i>
    <i>
      <x v="245"/>
      <x v="17"/>
      <x/>
      <x v="5"/>
      <x v="2"/>
      <x v="9"/>
      <x v="5"/>
    </i>
    <i>
      <x v="246"/>
      <x v="27"/>
      <x/>
      <x/>
      <x v="2"/>
      <x v="9"/>
      <x v="5"/>
    </i>
    <i>
      <x v="247"/>
      <x v="18"/>
      <x/>
      <x v="5"/>
      <x v="2"/>
      <x v="9"/>
      <x v="5"/>
    </i>
    <i>
      <x v="248"/>
      <x v="15"/>
      <x/>
      <x v="3"/>
      <x v="1"/>
      <x v="9"/>
      <x v="5"/>
    </i>
    <i>
      <x v="249"/>
      <x v="30"/>
      <x/>
      <x v="3"/>
      <x v="2"/>
      <x v="9"/>
      <x v="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A125" firstHeaderRow="1" firstDataRow="1" firstDataCol="1"/>
  <pivotFields count="16">
    <pivotField showAll="0"/>
    <pivotField axis="axisRow" outline="0" showAll="0" defaultSubtotal="0">
      <items count="250">
        <item m="1" x="202"/>
        <item m="1" x="232"/>
        <item m="1" x="195"/>
        <item m="1" x="208"/>
        <item m="1" x="157"/>
        <item m="1" x="219"/>
        <item m="1" x="221"/>
        <item m="1" x="211"/>
        <item m="1" x="234"/>
        <item m="1" x="163"/>
        <item m="1" x="200"/>
        <item m="1" x="230"/>
        <item m="1" x="238"/>
        <item m="1" x="249"/>
        <item m="1" x="210"/>
        <item m="1" x="170"/>
        <item m="1" x="201"/>
        <item m="1" x="172"/>
        <item m="1" x="127"/>
        <item m="1" x="190"/>
        <item m="1" x="183"/>
        <item m="1" x="152"/>
        <item m="1" x="155"/>
        <item m="1" x="142"/>
        <item m="1" x="159"/>
        <item m="1" x="197"/>
        <item m="1" x="156"/>
        <item m="1" x="214"/>
        <item m="1" x="175"/>
        <item m="1" x="240"/>
        <item m="1" x="203"/>
        <item m="1" x="128"/>
        <item m="1" x="226"/>
        <item m="1" x="179"/>
        <item m="1" x="242"/>
        <item m="1" x="122"/>
        <item m="1" x="138"/>
        <item m="1" x="160"/>
        <item m="1" x="180"/>
        <item m="1" x="165"/>
        <item m="1" x="248"/>
        <item m="1" x="124"/>
        <item m="1" x="130"/>
        <item m="1" x="166"/>
        <item m="1" x="133"/>
        <item m="1" x="204"/>
        <item m="1" x="247"/>
        <item m="1" x="187"/>
        <item m="1" x="167"/>
        <item m="1" x="136"/>
        <item m="1" x="162"/>
        <item m="1" x="243"/>
        <item m="1" x="244"/>
        <item m="1" x="209"/>
        <item m="1" x="188"/>
        <item m="1" x="158"/>
        <item m="1" x="246"/>
        <item m="1" x="198"/>
        <item m="1" x="176"/>
        <item m="1" x="174"/>
        <item m="1" x="225"/>
        <item m="1" x="218"/>
        <item m="1" x="146"/>
        <item m="1" x="196"/>
        <item m="1" x="233"/>
        <item m="1" x="164"/>
        <item m="1" x="121"/>
        <item m="1" x="134"/>
        <item m="1" x="168"/>
        <item m="1" x="217"/>
        <item m="1" x="145"/>
        <item m="1" x="245"/>
        <item m="1" x="141"/>
        <item m="1" x="135"/>
        <item m="1" x="171"/>
        <item m="1" x="154"/>
        <item m="1" x="150"/>
        <item m="1" x="178"/>
        <item m="1" x="223"/>
        <item m="1" x="177"/>
        <item m="1" x="131"/>
        <item m="1" x="148"/>
        <item m="1" x="173"/>
        <item m="1" x="137"/>
        <item m="1" x="227"/>
        <item m="1" x="181"/>
        <item m="1" x="129"/>
        <item m="1" x="207"/>
        <item m="1" x="149"/>
        <item m="1" x="139"/>
        <item m="1" x="125"/>
        <item m="1" x="151"/>
        <item m="1" x="199"/>
        <item m="1" x="161"/>
        <item m="1" x="193"/>
        <item m="1" x="239"/>
        <item m="1" x="153"/>
        <item m="1" x="213"/>
        <item m="1" x="235"/>
        <item m="1" x="220"/>
        <item m="1" x="182"/>
        <item m="1" x="132"/>
        <item m="1" x="123"/>
        <item m="1" x="231"/>
        <item m="1" x="144"/>
        <item m="1" x="236"/>
        <item m="1" x="191"/>
        <item m="1" x="241"/>
        <item m="1" x="216"/>
        <item m="1" x="224"/>
        <item m="1" x="194"/>
        <item m="1" x="205"/>
        <item m="1" x="206"/>
        <item m="1" x="147"/>
        <item m="1" x="212"/>
        <item m="1" x="189"/>
        <item m="1" x="192"/>
        <item m="1" x="140"/>
        <item m="1" x="143"/>
        <item m="1" x="222"/>
        <item m="1" x="186"/>
        <item m="1" x="229"/>
        <item m="1" x="228"/>
        <item m="1" x="169"/>
        <item m="1" x="185"/>
        <item m="1" x="215"/>
        <item m="1" x="184"/>
        <item m="1" x="237"/>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pivotField>
    <pivotField outline="0" showAll="0" defaultSubtotal="0">
      <items count="16">
        <item m="1" x="10"/>
        <item m="1" x="14"/>
        <item m="1" x="9"/>
        <item m="1" x="13"/>
        <item m="1" x="12"/>
        <item m="1" x="15"/>
        <item x="0"/>
        <item x="1"/>
        <item x="2"/>
        <item x="4"/>
        <item x="5"/>
        <item x="6"/>
        <item x="7"/>
        <item x="3"/>
        <item m="1" x="11"/>
        <item m="1" x="8"/>
      </items>
    </pivotField>
    <pivotField showAll="0">
      <items count="12">
        <item x="8"/>
        <item x="4"/>
        <item x="0"/>
        <item x="6"/>
        <item x="2"/>
        <item x="10"/>
        <item x="1"/>
        <item x="3"/>
        <item x="7"/>
        <item x="5"/>
        <item x="9"/>
        <item t="default"/>
      </items>
    </pivotField>
    <pivotField showAll="0"/>
    <pivotField outline="0" showAll="0" defaultSubtotal="0">
      <items count="5">
        <item x="2"/>
        <item m="1" x="4"/>
        <item x="0"/>
        <item x="1"/>
        <item m="1" x="3"/>
      </items>
    </pivotField>
    <pivotField showAll="0"/>
    <pivotField showAll="0" defaultSubtotal="0">
      <items count="4">
        <item m="1" x="3"/>
        <item x="2"/>
        <item x="0"/>
        <item x="1"/>
      </items>
    </pivotField>
    <pivotField showAll="0"/>
    <pivotField showAll="0"/>
    <pivotField showAll="0"/>
    <pivotField numFmtId="17" showAll="0" defaultSubtotal="0"/>
    <pivotField numFmtId="17" showAll="0" defaultSubtotal="0"/>
    <pivotField showAll="0"/>
    <pivotField showAll="0"/>
    <pivotField showAll="0" defaultSubtotal="0">
      <items count="4">
        <item x="2"/>
        <item m="1" x="3"/>
        <item x="1"/>
        <item x="0"/>
      </items>
    </pivotField>
  </pivotFields>
  <rowFields count="1">
    <field x="1"/>
  </rowFields>
  <rowItems count="122">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6745315-78F8-4AE0-BACB-8AE6EF705480}" autoFormatId="16" applyNumberFormats="0" applyBorderFormats="0" applyFontFormats="0" applyPatternFormats="0" applyAlignmentFormats="0" applyWidthHeightFormats="0">
  <queryTableRefresh nextId="17">
    <queryTableFields count="16">
      <queryTableField id="1" name="Sr" tableColumnId="1"/>
      <queryTableField id="2" name="Client Name" tableColumnId="2"/>
      <queryTableField id="3" name="Partner " tableColumnId="3"/>
      <queryTableField id="4" name="Audit co-ordinator" tableColumnId="4"/>
      <queryTableField id="5" name="Audit manager" tableColumnId="5"/>
      <queryTableField id="6" name="Priority" tableColumnId="6"/>
      <queryTableField id="7" name="Client type" tableColumnId="7"/>
      <queryTableField id="8" name="Year End" tableColumnId="8"/>
      <queryTableField id="9" name="Status 1" tableColumnId="9"/>
      <queryTableField id="10" name="Status 2" tableColumnId="10"/>
      <queryTableField id="11" name="Status 3" tableColumnId="11"/>
      <queryTableField id="12" name="Start Month" tableColumnId="12"/>
      <queryTableField id="13" name="End Month" tableColumnId="13"/>
      <queryTableField id="14" name="ERP" tableColumnId="14"/>
      <queryTableField id="15" name="Comments" tableColumnId="15"/>
      <queryTableField id="16" name="Status"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_Name" xr10:uid="{00000000-0013-0000-FFFF-FFFF01000000}" sourceName="Client Name">
  <pivotTables>
    <pivotTable tabId="10" name="PivotTable1"/>
    <pivotTable tabId="10" name="PivotTable10"/>
    <pivotTable tabId="13" name="PivotTable15"/>
    <pivotTable tabId="14" name="PivotTable16"/>
    <pivotTable tabId="16" name="PivotTable5"/>
    <pivotTable tabId="17" name="PivotTable1"/>
    <pivotTable tabId="18" name="PivotTable3"/>
    <pivotTable tabId="11" name="PivotTable14"/>
  </pivotTables>
  <data>
    <tabular pivotCacheId="2">
      <items count="250">
        <i x="20" s="1"/>
        <i x="67" s="1"/>
        <i x="84" s="1"/>
        <i x="92" s="1"/>
        <i x="101" s="1"/>
        <i x="0" s="1"/>
        <i x="18" s="1"/>
        <i x="3" s="1"/>
        <i x="42" s="1"/>
        <i x="27" s="1"/>
        <i x="46" s="1"/>
        <i x="34" s="1"/>
        <i x="98" s="1"/>
        <i x="94" s="1"/>
        <i x="35" s="1"/>
        <i x="66" s="1"/>
        <i x="4" s="1"/>
        <i x="30" s="1"/>
        <i x="9" s="1"/>
        <i x="38" s="1"/>
        <i x="19" s="1"/>
        <i x="91" s="1"/>
        <i x="47" s="1"/>
        <i x="41" s="1"/>
        <i x="7" s="1"/>
        <i x="31" s="1"/>
        <i x="119" s="1"/>
        <i x="64" s="1"/>
        <i x="36" s="1"/>
        <i x="116" s="1"/>
        <i x="51" s="1"/>
        <i x="120" s="1"/>
        <i x="97" s="1"/>
        <i x="85" s="1"/>
        <i x="24" s="1"/>
        <i x="14" s="1"/>
        <i x="96" s="1"/>
        <i x="21" s="1"/>
        <i x="95" s="1"/>
        <i x="26" s="1"/>
        <i x="16" s="1"/>
        <i x="72" s="1"/>
        <i x="2" s="1"/>
        <i x="90" s="1"/>
        <i x="109" s="1"/>
        <i x="110" s="1"/>
        <i x="62" s="1"/>
        <i x="93" s="1"/>
        <i x="88" s="1"/>
        <i x="15" s="1"/>
        <i x="48" s="1"/>
        <i x="57" s="1"/>
        <i x="10" s="1"/>
        <i x="115" s="1"/>
        <i x="105" s="1"/>
        <i x="54" s="1"/>
        <i x="82" s="1"/>
        <i x="79" s="1"/>
        <i x="50" s="1"/>
        <i x="43" s="1"/>
        <i x="37" s="1"/>
        <i x="86" s="1"/>
        <i x="33" s="1"/>
        <i x="68" s="1"/>
        <i x="65" s="1"/>
        <i x="60" s="1"/>
        <i x="73" s="1"/>
        <i x="6" s="1"/>
        <i x="58" s="1"/>
        <i x="76" s="1"/>
        <i x="12" s="1"/>
        <i x="63" s="1"/>
        <i x="107" s="1"/>
        <i x="23" s="1"/>
        <i x="102" s="1"/>
        <i x="1" s="1"/>
        <i x="59" s="1"/>
        <i x="100" s="1"/>
        <i x="117" s="1"/>
        <i x="111" s="1"/>
        <i x="22" s="1"/>
        <i x="77" s="1"/>
        <i x="112" s="1"/>
        <i x="13" s="1"/>
        <i x="78" s="1"/>
        <i x="8" s="1"/>
        <i x="61" s="1"/>
        <i x="40" s="1"/>
        <i x="75" s="1"/>
        <i x="56" s="1"/>
        <i x="113" s="1"/>
        <i x="52" s="1"/>
        <i x="45" s="1"/>
        <i x="103" s="1"/>
        <i x="17" s="1"/>
        <i x="118" s="1"/>
        <i x="71" s="1"/>
        <i x="39" s="1"/>
        <i x="87" s="1"/>
        <i x="80" s="1"/>
        <i x="69" s="1"/>
        <i x="49" s="1"/>
        <i x="53" s="1"/>
        <i x="108" s="1"/>
        <i x="70" s="1"/>
        <i x="25" s="1"/>
        <i x="44" s="1"/>
        <i x="83" s="1"/>
        <i x="104" s="1"/>
        <i x="55" s="1"/>
        <i x="74" s="1"/>
        <i x="99" s="1"/>
        <i x="32" s="1"/>
        <i x="106" s="1"/>
        <i x="5" s="1"/>
        <i x="114" s="1"/>
        <i x="29" s="1"/>
        <i x="81" s="1"/>
        <i x="11" s="1"/>
        <i x="28" s="1"/>
        <i x="89" s="1"/>
        <i x="202" s="1" nd="1"/>
        <i x="232" s="1" nd="1"/>
        <i x="195" s="1" nd="1"/>
        <i x="208" s="1" nd="1"/>
        <i x="157" s="1" nd="1"/>
        <i x="213" s="1" nd="1"/>
        <i x="219" s="1" nd="1"/>
        <i x="140" s="1" nd="1"/>
        <i x="148" s="1" nd="1"/>
        <i x="164" s="1" nd="1"/>
        <i x="221" s="1" nd="1"/>
        <i x="211" s="1" nd="1"/>
        <i x="234" s="1" nd="1"/>
        <i x="163" s="1" nd="1"/>
        <i x="237" s="1" nd="1"/>
        <i x="200" s="1" nd="1"/>
        <i x="230" s="1" nd="1"/>
        <i x="173" s="1" nd="1"/>
        <i x="125" s="1" nd="1"/>
        <i x="235" s="1" nd="1"/>
        <i x="238" s="1" nd="1"/>
        <i x="249" s="1" nd="1"/>
        <i x="210" s="1" nd="1"/>
        <i x="170" s="1" nd="1"/>
        <i x="220" s="1" nd="1"/>
        <i x="201" s="1" nd="1"/>
        <i x="182" s="1" nd="1"/>
        <i x="172" s="1" nd="1"/>
        <i x="132" s="1" nd="1"/>
        <i x="123" s="1" nd="1"/>
        <i x="127" s="1" nd="1"/>
        <i x="231" s="1" nd="1"/>
        <i x="190" s="1" nd="1"/>
        <i x="183" s="1" nd="1"/>
        <i x="152" s="1" nd="1"/>
        <i x="144" s="1" nd="1"/>
        <i x="236" s="1" nd="1"/>
        <i x="126" s="1" nd="1"/>
        <i x="191" s="1" nd="1"/>
        <i x="241" s="1" nd="1"/>
        <i x="143" s="1" nd="1"/>
        <i x="134" s="1" nd="1"/>
        <i x="155" s="1" nd="1"/>
        <i x="142" s="1" nd="1"/>
        <i x="159" s="1" nd="1"/>
        <i x="197" s="1" nd="1"/>
        <i x="156" s="1" nd="1"/>
        <i x="214" s="1" nd="1"/>
        <i x="175" s="1" nd="1"/>
        <i x="240" s="1" nd="1"/>
        <i x="216" s="1" nd="1"/>
        <i x="224" s="1" nd="1"/>
        <i x="145" s="1" nd="1"/>
        <i x="203" s="1" nd="1"/>
        <i x="178" s="1" nd="1"/>
        <i x="128" s="1" nd="1"/>
        <i x="137" s="1" nd="1"/>
        <i x="226" s="1" nd="1"/>
        <i x="179" s="1" nd="1"/>
        <i x="242" s="1" nd="1"/>
        <i x="227" s="1" nd="1"/>
        <i x="245" s="1" nd="1"/>
        <i x="151" s="1" nd="1"/>
        <i x="194" s="1" nd="1"/>
        <i x="222" s="1" nd="1"/>
        <i x="186" s="1" nd="1"/>
        <i x="122" s="1" nd="1"/>
        <i x="199" s="1" nd="1"/>
        <i x="138" s="1" nd="1"/>
        <i x="160" s="1" nd="1"/>
        <i x="229" s="1" nd="1"/>
        <i x="180" s="1" nd="1"/>
        <i x="121" s="1" nd="1"/>
        <i x="165" s="1" nd="1"/>
        <i x="248" s="1" nd="1"/>
        <i x="124" s="1" nd="1"/>
        <i x="130" s="1" nd="1"/>
        <i x="166" s="1" nd="1"/>
        <i x="223" s="1" nd="1"/>
        <i x="177" s="1" nd="1"/>
        <i x="131" s="1" nd="1"/>
        <i x="133" s="1" nd="1"/>
        <i x="204" s="1" nd="1"/>
        <i x="247" s="1" nd="1"/>
        <i x="205" s="1" nd="1"/>
        <i x="206" s="1" nd="1"/>
        <i x="187" s="1" nd="1"/>
        <i x="167" s="1" nd="1"/>
        <i x="181" s="1" nd="1"/>
        <i x="136" s="1" nd="1"/>
        <i x="162" s="1" nd="1"/>
        <i x="228" s="1" nd="1"/>
        <i x="161" s="1" nd="1"/>
        <i x="141" s="1" nd="1"/>
        <i x="193" s="1" nd="1"/>
        <i x="135" s="1" nd="1"/>
        <i x="243" s="1" nd="1"/>
        <i x="244" s="1" nd="1"/>
        <i x="209" s="1" nd="1"/>
        <i x="188" s="1" nd="1"/>
        <i x="168" s="1" nd="1"/>
        <i x="129" s="1" nd="1"/>
        <i x="158" s="1" nd="1"/>
        <i x="246" s="1" nd="1"/>
        <i x="169" s="1" nd="1"/>
        <i x="207" s="1" nd="1"/>
        <i x="171" s="1" nd="1"/>
        <i x="239" s="1" nd="1"/>
        <i x="153" s="1" nd="1"/>
        <i x="185" s="1" nd="1"/>
        <i x="154" s="1" nd="1"/>
        <i x="150" s="1" nd="1"/>
        <i x="149" s="1" nd="1"/>
        <i x="215" s="1" nd="1"/>
        <i x="147" s="1" nd="1"/>
        <i x="212" s="1" nd="1"/>
        <i x="184" s="1" nd="1"/>
        <i x="189" s="1" nd="1"/>
        <i x="192" s="1" nd="1"/>
        <i x="198" s="1" nd="1"/>
        <i x="176" s="1" nd="1"/>
        <i x="174" s="1" nd="1"/>
        <i x="217" s="1" nd="1"/>
        <i x="225" s="1" nd="1"/>
        <i x="218" s="1" nd="1"/>
        <i x="146" s="1" nd="1"/>
        <i x="196" s="1" nd="1"/>
        <i x="233" s="1" nd="1"/>
        <i x="13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ner" xr10:uid="{00000000-0013-0000-FFFF-FFFF02000000}" sourceName="Partner ">
  <pivotTables>
    <pivotTable tabId="10" name="PivotTable1"/>
    <pivotTable tabId="10" name="PivotTable10"/>
    <pivotTable tabId="13" name="PivotTable15"/>
    <pivotTable tabId="14" name="PivotTable16"/>
    <pivotTable tabId="16" name="PivotTable5"/>
    <pivotTable tabId="17" name="PivotTable1"/>
    <pivotTable tabId="18" name="PivotTable3"/>
    <pivotTable tabId="11" name="PivotTable14"/>
  </pivotTables>
  <data>
    <tabular pivotCacheId="2" showMissing="0">
      <items count="16">
        <i x="0" s="1"/>
        <i x="1" s="1"/>
        <i x="2" s="1"/>
        <i x="4" s="1"/>
        <i x="5" s="1"/>
        <i x="6" s="1"/>
        <i x="7" s="1"/>
        <i x="3" s="1"/>
        <i x="10" s="1" nd="1"/>
        <i x="14" s="1" nd="1"/>
        <i x="9" s="1" nd="1"/>
        <i x="13" s="1" nd="1"/>
        <i x="12" s="1" nd="1"/>
        <i x="15" s="1" nd="1"/>
        <i x="11" s="1" nd="1"/>
        <i x="8"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3000000}" sourceName="Priority">
  <pivotTables>
    <pivotTable tabId="10" name="PivotTable1"/>
    <pivotTable tabId="10" name="PivotTable10"/>
    <pivotTable tabId="13" name="PivotTable15"/>
    <pivotTable tabId="14" name="PivotTable16"/>
    <pivotTable tabId="16" name="PivotTable5"/>
    <pivotTable tabId="17" name="PivotTable1"/>
    <pivotTable tabId="18" name="PivotTable3"/>
    <pivotTable tabId="11" name="PivotTable14"/>
  </pivotTables>
  <data>
    <tabular pivotCacheId="2">
      <items count="5">
        <i x="2" s="1"/>
        <i x="0" s="1"/>
        <i x="1" s="1"/>
        <i x="4"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5000000}" sourceName="Status">
  <pivotTables>
    <pivotTable tabId="10" name="PivotTable1"/>
    <pivotTable tabId="10" name="PivotTable10"/>
    <pivotTable tabId="13" name="PivotTable15"/>
    <pivotTable tabId="14" name="PivotTable16"/>
    <pivotTable tabId="16" name="PivotTable5"/>
    <pivotTable tabId="17" name="PivotTable1"/>
    <pivotTable tabId="18" name="PivotTable3"/>
    <pivotTable tabId="11" name="PivotTable14"/>
  </pivotTables>
  <data>
    <tabular pivotCacheId="2" showMissing="0">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End" xr10:uid="{00000000-0013-0000-FFFF-FFFF06000000}" sourceName="Year End">
  <pivotTables>
    <pivotTable tabId="16" name="PivotTable5"/>
    <pivotTable tabId="11" name="PivotTable14"/>
    <pivotTable tabId="10" name="PivotTable1"/>
    <pivotTable tabId="10" name="PivotTable10"/>
    <pivotTable tabId="13" name="PivotTable15"/>
    <pivotTable tabId="14" name="PivotTable16"/>
    <pivotTable tabId="17" name="PivotTable1"/>
    <pivotTable tabId="18" name="PivotTable3"/>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udit_co_ordinator" xr10:uid="{5254D128-BF56-4430-A8FB-DAFB396E977B}" sourceName="Audit co-ordinator">
  <pivotTables>
    <pivotTable tabId="18" name="PivotTable3"/>
    <pivotTable tabId="11" name="PivotTable14"/>
    <pivotTable tabId="10" name="PivotTable1"/>
    <pivotTable tabId="10" name="PivotTable10"/>
    <pivotTable tabId="13" name="PivotTable15"/>
    <pivotTable tabId="14" name="PivotTable16"/>
    <pivotTable tabId="16" name="PivotTable5"/>
    <pivotTable tabId="17" name="PivotTable1"/>
  </pivotTables>
  <data>
    <tabular pivotCacheId="2">
      <items count="11">
        <i x="8" s="1"/>
        <i x="4" s="1"/>
        <i x="0" s="1"/>
        <i x="6" s="1"/>
        <i x="2" s="1"/>
        <i x="10" s="1"/>
        <i x="1" s="1"/>
        <i x="3" s="1"/>
        <i x="7" s="1"/>
        <i x="5" s="1"/>
        <i x="9"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 Name 1" xr10:uid="{00000000-0014-0000-FFFF-FFFF01000000}" cache="Slicer_Client_Name" caption="Client Name" style="SlicerStyleOther1 2" lockedPosition="1" rowHeight="241300"/>
  <slicer name="Partner  1" xr10:uid="{00000000-0014-0000-FFFF-FFFF02000000}" cache="Slicer_Partner" caption="Partner Group" columnCount="2" style="SlicerStyleOther1 2" lockedPosition="1" rowHeight="241300"/>
  <slicer name="Partner  2" xr10:uid="{00000000-0014-0000-FFFF-FFFF03000000}" cache="Slicer_Partner" caption="Partner " columnCount="2" style="SlicerStyleOther1 2" lockedPosition="1" rowHeight="241300"/>
  <slicer name="Priority 1" xr10:uid="{00000000-0014-0000-FFFF-FFFF04000000}" cache="Slicer_Priority" caption="Priority" style="SlicerStyleOther1 2" lockedPosition="1" rowHeight="241300"/>
  <slicer name="Status 1" xr10:uid="{00000000-0014-0000-FFFF-FFFF06000000}" cache="Slicer_Status" caption="Status" style="SlicerStyleOther1 2" lockedPosition="1" rowHeight="241300"/>
  <slicer name="Year End 1" xr10:uid="{00000000-0014-0000-FFFF-FFFF07000000}" cache="Slicer_Year_End" caption="Year End" style="SlicerStyleOther1 2" lockedPosition="1" rowHeight="241300"/>
  <slicer name="Audit co-ordinator 1" xr10:uid="{4BB1E46E-80B3-48A6-8B0F-EAF233962821}" cache="Slicer_Audit_co_ordinator" caption="Audit co-ordinator" columnCount="2" style="SlicerStyleOther1 2" lockedPosition="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udit co-ordinator" xr10:uid="{90EEF23C-EB4F-4DD8-A424-75C125FAB5BE}" cache="Slicer_Audit_co_ordinator" caption="Audit co-ordinator" columnCount="2" style="SlicerStyleOther1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tner " xr10:uid="{00000000-0014-0000-FFFF-FFFF08000000}" cache="Slicer_Partner" caption="Partner " columnCount="2" style="SlicerStyleOther1 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End" xr10:uid="{00000000-0014-0000-FFFF-FFFF09000000}" cache="Slicer_Year_End" caption="Year En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715462-736F-43B3-8093-D336A53278D0}" name="Database" displayName="Database" ref="A5:P126" tableType="queryTable" totalsRowShown="0" headerRowDxfId="17" dataDxfId="16">
  <autoFilter ref="A5:P126" xr:uid="{55715462-736F-43B3-8093-D336A53278D0}"/>
  <tableColumns count="16">
    <tableColumn id="1" xr3:uid="{DACA4DE7-E689-4F1D-9B8D-9A9B971CBE30}" uniqueName="1" name="Sr" queryTableFieldId="1" dataDxfId="15"/>
    <tableColumn id="2" xr3:uid="{BD2CAE6C-562C-4FCD-91B6-3373654B03F4}" uniqueName="2" name="Client Name" queryTableFieldId="2" dataDxfId="14"/>
    <tableColumn id="3" xr3:uid="{E2CF0A2E-87D6-4EFF-9196-C5C4371ABFBD}" uniqueName="3" name="Partner " queryTableFieldId="3" dataDxfId="13"/>
    <tableColumn id="4" xr3:uid="{C3054484-806F-476A-ACB0-24A4883AD414}" uniqueName="4" name="Audit co-ordinator" queryTableFieldId="4" dataDxfId="12"/>
    <tableColumn id="5" xr3:uid="{CFA1D2AD-6F21-4FA2-9728-639C22C847B6}" uniqueName="5" name="Audit manager" queryTableFieldId="5" dataDxfId="11"/>
    <tableColumn id="6" xr3:uid="{B8218798-07FD-4796-8A05-9FC0B9AD7D95}" uniqueName="6" name="Priority" queryTableFieldId="6" dataDxfId="10"/>
    <tableColumn id="7" xr3:uid="{62B483C2-F28D-4C2C-A70C-56E8C9D793A1}" uniqueName="7" name="Client type" queryTableFieldId="7" dataDxfId="9"/>
    <tableColumn id="8" xr3:uid="{964F2074-20FA-45BD-A976-F1BE6383A925}" uniqueName="8" name="Year End" queryTableFieldId="8" dataDxfId="8"/>
    <tableColumn id="9" xr3:uid="{0C50F699-3CAD-43ED-B7AB-108918D30E5A}" uniqueName="9" name="Status 1" queryTableFieldId="9" dataDxfId="7"/>
    <tableColumn id="10" xr3:uid="{295A43FA-39A5-4EA8-9FE6-A12787E6705B}" uniqueName="10" name="Status 2" queryTableFieldId="10" dataDxfId="6"/>
    <tableColumn id="11" xr3:uid="{5DECDC14-FE94-4D10-91A4-8EC9DF0E57FC}" uniqueName="11" name="Status 3" queryTableFieldId="11" dataDxfId="5"/>
    <tableColumn id="12" xr3:uid="{0132DAB6-2A83-4135-A833-0969853F0F0C}" uniqueName="12" name="Start Month" queryTableFieldId="12" dataDxfId="4"/>
    <tableColumn id="13" xr3:uid="{018DB2BA-14EC-4531-96C3-95299BEAC5CA}" uniqueName="13" name="End Month" queryTableFieldId="13" dataDxfId="3"/>
    <tableColumn id="14" xr3:uid="{3140DE6A-14DE-4BC4-9A40-8BA996E90958}" uniqueName="14" name="ERP" queryTableFieldId="14" dataDxfId="2"/>
    <tableColumn id="15" xr3:uid="{64B2A50D-4F1A-43CA-A5DF-C95DAFE90BB8}" uniqueName="15" name="Comments" queryTableFieldId="15" dataDxfId="1"/>
    <tableColumn id="16" xr3:uid="{DEF23E5C-FFC0-4BC1-876C-2C47E74E1EB4}" uniqueName="16" name="Status" queryTableFieldId="1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07/relationships/slicer" Target="../slicers/slicer3.xml"/><Relationship Id="rId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AH39"/>
  <sheetViews>
    <sheetView showGridLines="0" showRowColHeaders="0" tabSelected="1" zoomScaleNormal="100" workbookViewId="0">
      <selection activeCell="G37" sqref="G37"/>
    </sheetView>
  </sheetViews>
  <sheetFormatPr defaultColWidth="9.109375" defaultRowHeight="14.4" x14ac:dyDescent="0.3"/>
  <cols>
    <col min="3" max="3" width="12" customWidth="1"/>
    <col min="4" max="4" width="3" customWidth="1"/>
    <col min="8" max="8" width="11.33203125" bestFit="1" customWidth="1"/>
    <col min="9" max="9" width="9.6640625" customWidth="1"/>
    <col min="21" max="21" width="13.5546875" customWidth="1"/>
  </cols>
  <sheetData>
    <row r="1" spans="3:34" ht="15" customHeight="1" x14ac:dyDescent="0.3">
      <c r="M1" s="26"/>
      <c r="N1" s="35"/>
      <c r="O1" s="52"/>
      <c r="P1" s="91" t="s">
        <v>33</v>
      </c>
      <c r="Q1" s="91"/>
      <c r="R1" s="89">
        <f ca="1">Lastsaved()</f>
        <v>44923.694560185184</v>
      </c>
      <c r="S1" s="89"/>
      <c r="T1" s="39"/>
      <c r="U1" s="39"/>
    </row>
    <row r="2" spans="3:34" ht="15.75" customHeight="1" x14ac:dyDescent="0.3">
      <c r="M2" s="26"/>
      <c r="N2" s="35"/>
      <c r="O2" s="52"/>
      <c r="P2" s="91"/>
      <c r="Q2" s="91"/>
      <c r="R2" s="90">
        <f ca="1">Lastsaved()</f>
        <v>44923.694560185184</v>
      </c>
      <c r="S2" s="90"/>
      <c r="T2" s="40"/>
      <c r="U2" s="40"/>
      <c r="AE2" s="32" t="str">
        <f>IF('Pivot 3(Line chart)'!AD13='Pivot 3(Line chart)'!AD11,'Pivot 3(Line chart)'!AD11,IF('Pivot 3(Line chart)'!AC13='Pivot 3(Line chart)'!AC11,'Pivot 3(Line chart)'!AC11,IF('Pivot 3(Line chart)'!AB13='Pivot 3(Line chart)'!AB11,'Pivot 3(Line chart)'!AB11,IF('Pivot 3(Line chart)'!AA13='Pivot 3(Line chart)'!AA11,'Pivot 3(Line chart)'!AA11,IF('Pivot 3(Line chart)'!Z13='Pivot 3(Line chart)'!Z11,'Pivot 3(Line chart)'!Z11,IF('Pivot 3(Line chart)'!Y13='Pivot 3(Line chart)'!Y11,'Pivot 3(Line chart)'!Y11,IF('Pivot 3(Line chart)'!X13='Pivot 3(Line chart)'!X11,'Pivot 3(Line chart)'!X11,'Pivot 3(Line chart)'!W11)))))))</f>
        <v>Step 1</v>
      </c>
    </row>
    <row r="3" spans="3:34" ht="15" customHeight="1" x14ac:dyDescent="0.3">
      <c r="AE3" t="str">
        <f>IF('Pivot 3(Line chart)'!AM13='Pivot 3(Line chart)'!AM11,'Pivot 3(Line chart)'!AM11,IF('Pivot 3(Line chart)'!AL13='Pivot 3(Line chart)'!AL11,'Pivot 3(Line chart)'!AL11,IF('Pivot 3(Line chart)'!AK13='Pivot 3(Line chart)'!AK11,'Pivot 3(Line chart)'!AK11,IF('Pivot 3(Line chart)'!AJ13='Pivot 3(Line chart)'!AJ11,'Pivot 3(Line chart)'!AJ11,IF('Pivot 3(Line chart)'!AI13='Pivot 3(Line chart)'!AI11,'Pivot 3(Line chart)'!AI11,IF('Pivot 3(Line chart)'!AH13='Pivot 3(Line chart)'!AH11,'Pivot 3(Line chart)'!AH11,'Pivot 3(Line chart)'!AG11))))))</f>
        <v>Step 7</v>
      </c>
    </row>
    <row r="4" spans="3:34" ht="15" customHeight="1" x14ac:dyDescent="0.3">
      <c r="AE4" t="str">
        <f>IF('Pivot 3(Line chart)'!AV13='Pivot 3(Line chart)'!AV11,'Pivot 3(Line chart)'!AV11,IF('Pivot 3(Line chart)'!AU13='Pivot 3(Line chart)'!AU11,'Pivot 3(Line chart)'!AU11,IF('Pivot 3(Line chart)'!AT13='Pivot 3(Line chart)'!AT11,'Pivot 3(Line chart)'!AT11,IF('Pivot 3(Line chart)'!AS13='Pivot 3(Line chart)'!AS11,'Pivot 3(Line chart)'!AS11,IF('Pivot 3(Line chart)'!AR13='Pivot 3(Line chart)'!AR11,'Pivot 3(Line chart)'!AR11,'Pivot 3(Line chart)'!AQ11)))))</f>
        <v>Step 1</v>
      </c>
    </row>
    <row r="6" spans="3:34" ht="15" customHeight="1" x14ac:dyDescent="0.3"/>
    <row r="7" spans="3:34" ht="15" customHeight="1" x14ac:dyDescent="0.35">
      <c r="AE7" s="83" t="s">
        <v>252</v>
      </c>
      <c r="AF7" s="83"/>
      <c r="AG7" s="83"/>
      <c r="AH7" t="str">
        <f>IF(COUNTA('Pivot 3(Line chart)'!A12:A15)=3,IF('Pivot 3(Line chart)'!AE13='Pivot 3(Line chart)'!AE11,'Pivot 3(Line chart)'!AE11,IF('Pivot 3(Line chart)'!AD13='Pivot 3(Line chart)'!AD11,'Pivot 3(Line chart)'!AD11,IF('Pivot 3(Line chart)'!AC13='Pivot 3(Line chart)'!AC11,'Pivot 3(Line chart)'!AC11,IF('Pivot 3(Line chart)'!AB13='Pivot 3(Line chart)'!AB11,'Pivot 3(Line chart)'!AB11,IF('Pivot 3(Line chart)'!AA13='Pivot 3(Line chart)'!AA11,'Pivot 3(Line chart)'!AA11,IF('Pivot 3(Line chart)'!Z13='Pivot 3(Line chart)'!Z11,'Pivot 3(Line chart)'!Z11,IF('Pivot 3(Line chart)'!Y13='Pivot 3(Line chart)'!Y11,'Pivot 3(Line chart)'!Y11,IF('Pivot 3(Line chart)'!X13='Pivot 3(Line chart)'!X11,'Pivot 3(Line chart)'!X11,'Pivot 3(Line chart)'!W11)))))))),"")</f>
        <v/>
      </c>
    </row>
    <row r="8" spans="3:34" ht="17.399999999999999" x14ac:dyDescent="0.35">
      <c r="AE8" s="84" t="s">
        <v>253</v>
      </c>
      <c r="AF8" s="84"/>
      <c r="AG8" s="84"/>
      <c r="AH8" t="str">
        <f>IF(COUNTA('Pivot 3(Line chart)'!A12:A15)=3,IF('Pivot 3(Line chart)'!AO13='Pivot 3(Line chart)'!AO11,'Pivot 3(Line chart)'!AO11,IF('Pivot 3(Line chart)'!AN13='Pivot 3(Line chart)'!AN11,'Pivot 3(Line chart)'!AN11,IF('Pivot 3(Line chart)'!AM13='Pivot 3(Line chart)'!AM11,'Pivot 3(Line chart)'!AM11,IF('Pivot 3(Line chart)'!AL13='Pivot 3(Line chart)'!AL11,'Pivot 3(Line chart)'!AL11,IF('Pivot 3(Line chart)'!AK13='Pivot 3(Line chart)'!AK11,'Pivot 3(Line chart)'!AK11,IF('Pivot 3(Line chart)'!AJ13='Pivot 3(Line chart)'!AJ11,'Pivot 3(Line chart)'!AJ11,IF('Pivot 3(Line chart)'!AI13='Pivot 3(Line chart)'!AI11,'Pivot 3(Line chart)'!AI11,IF('Pivot 3(Line chart)'!AH13='Pivot 3(Line chart)'!AH11,'Pivot 3(Line chart)'!AH11,'Pivot 3(Line chart)'!AG11)))))))),"")</f>
        <v/>
      </c>
    </row>
    <row r="9" spans="3:34" ht="17.399999999999999" x14ac:dyDescent="0.35">
      <c r="C9" s="18" t="s">
        <v>1</v>
      </c>
      <c r="D9" s="81" t="s">
        <v>259</v>
      </c>
      <c r="AE9" s="85" t="s">
        <v>254</v>
      </c>
      <c r="AF9" s="85"/>
      <c r="AG9" s="85"/>
      <c r="AH9" t="str">
        <f>IF(COUNTA('Pivot 3(Line chart)'!A12:A15)=3,IF('Pivot 3(Line chart)'!AY13='Pivot 3(Line chart)'!AY11,'Pivot 3(Line chart)'!AY11,IF('Pivot 3(Line chart)'!AX13='Pivot 3(Line chart)'!AX11,'Pivot 3(Line chart)'!AX11,IF('Pivot 3(Line chart)'!AW13='Pivot 3(Line chart)'!AW11,'Pivot 3(Line chart)'!AW11,IF('Pivot 3(Line chart)'!AV13='Pivot 3(Line chart)'!AV11,'Pivot 3(Line chart)'!AV11,IF('Pivot 3(Line chart)'!AU13='Pivot 3(Line chart)'!AU11,'Pivot 3(Line chart)'!AU11,IF('Pivot 3(Line chart)'!AT13='Pivot 3(Line chart)'!AT11,'Pivot 3(Line chart)'!AT11,IF('Pivot 3(Line chart)'!AS13='Pivot 3(Line chart)'!AS11,'Pivot 3(Line chart)'!AS11,IF('Pivot 3(Line chart)'!AR13='Pivot 3(Line chart)'!AR11,'Pivot 3(Line chart)'!AR11,'Pivot 3(Line chart)'!AQ11)))))))),"")</f>
        <v/>
      </c>
    </row>
    <row r="10" spans="3:34" ht="15" customHeight="1" x14ac:dyDescent="0.3"/>
    <row r="14" spans="3:34" ht="15" customHeight="1" x14ac:dyDescent="0.3">
      <c r="E14" s="86"/>
      <c r="F14" s="86"/>
      <c r="G14" s="86"/>
      <c r="H14" s="86"/>
      <c r="I14" s="86"/>
    </row>
    <row r="15" spans="3:34" ht="15" customHeight="1" x14ac:dyDescent="0.3">
      <c r="AE15" t="str">
        <f>IF(COUNTA('Pivot 4(other data)'!A3:A6)=3,'Pivot 4(other data)'!G4,"")</f>
        <v/>
      </c>
    </row>
    <row r="16" spans="3:34" ht="15" customHeight="1" x14ac:dyDescent="0.3">
      <c r="AE16" t="str">
        <f>IF(COUNTA('Pivot 4(other data)'!A3:A6)=3,'Pivot 4(other data)'!F4,"")</f>
        <v/>
      </c>
    </row>
    <row r="17" spans="5:31" ht="15" customHeight="1" x14ac:dyDescent="0.3">
      <c r="AE17" t="str">
        <f>IF(COUNTA('Pivot 4(other data)'!A3:A6)=3,'Pivot 4(other data)'!E4,"")</f>
        <v/>
      </c>
    </row>
    <row r="18" spans="5:31" ht="15" customHeight="1" x14ac:dyDescent="0.3">
      <c r="AE18" t="str">
        <f>IF(COUNTA('Pivot 4(other data)'!A3:A6)=3,'Pivot 4(other data)'!D4,"")</f>
        <v/>
      </c>
    </row>
    <row r="19" spans="5:31" x14ac:dyDescent="0.3">
      <c r="AE19" t="str">
        <f>IF(COUNTA('Pivot 4(other data)'!A3:A6)=3,'Pivot 4(other data)'!B4,"")</f>
        <v/>
      </c>
    </row>
    <row r="20" spans="5:31" ht="14.25" customHeight="1" x14ac:dyDescent="0.3">
      <c r="H20" s="20"/>
    </row>
    <row r="21" spans="5:31" ht="15" customHeight="1" x14ac:dyDescent="0.3">
      <c r="AE21" t="str">
        <f>IF(COUNTA('Pivot 4(other data)'!A3:A6)=3,'Pivot 4(other data)'!C4,"")</f>
        <v/>
      </c>
    </row>
    <row r="26" spans="5:31" ht="15" customHeight="1" x14ac:dyDescent="0.3">
      <c r="E26" s="36"/>
      <c r="F26" s="36"/>
      <c r="G26" s="36"/>
      <c r="H26" s="36"/>
      <c r="I26" s="36"/>
    </row>
    <row r="27" spans="5:31" ht="15" customHeight="1" x14ac:dyDescent="0.3">
      <c r="E27" s="36"/>
      <c r="F27" s="36"/>
      <c r="G27" s="36"/>
      <c r="H27" s="36"/>
      <c r="I27" s="36"/>
    </row>
    <row r="28" spans="5:31" x14ac:dyDescent="0.3">
      <c r="E28" s="36"/>
      <c r="F28" s="36"/>
      <c r="G28" s="36"/>
      <c r="H28" s="36"/>
      <c r="I28" s="36"/>
    </row>
    <row r="29" spans="5:31" x14ac:dyDescent="0.3">
      <c r="E29" s="36"/>
      <c r="F29" s="36"/>
      <c r="G29" s="36"/>
      <c r="H29" s="36"/>
      <c r="I29" s="36"/>
    </row>
    <row r="30" spans="5:31" ht="15" customHeight="1" x14ac:dyDescent="0.35">
      <c r="E30" s="36"/>
      <c r="F30" s="36"/>
      <c r="G30" s="36"/>
      <c r="H30" s="36"/>
      <c r="I30" s="36"/>
      <c r="J30" s="87"/>
      <c r="K30" s="87"/>
      <c r="L30" s="66"/>
      <c r="M30" s="68"/>
      <c r="N30" s="68"/>
      <c r="O30" s="66"/>
      <c r="P30" s="69"/>
      <c r="Q30" s="69"/>
      <c r="R30" s="66"/>
      <c r="S30" s="70"/>
      <c r="T30" s="70"/>
      <c r="AC30" s="67" t="s">
        <v>24</v>
      </c>
      <c r="AD30" s="67"/>
    </row>
    <row r="31" spans="5:31" ht="17.399999999999999" x14ac:dyDescent="0.35">
      <c r="E31" s="36"/>
      <c r="F31" s="36"/>
      <c r="G31" s="36"/>
      <c r="H31" s="36"/>
      <c r="I31" s="36"/>
      <c r="J31" s="25"/>
      <c r="K31" s="25"/>
      <c r="L31" s="25"/>
      <c r="M31" s="25"/>
      <c r="N31" s="25"/>
      <c r="O31" s="25"/>
      <c r="P31" s="25"/>
      <c r="Q31" s="25"/>
      <c r="R31" s="25"/>
      <c r="S31" s="25"/>
      <c r="T31" s="25"/>
      <c r="AC31" s="68" t="s">
        <v>218</v>
      </c>
      <c r="AD31" s="68"/>
    </row>
    <row r="32" spans="5:31" ht="17.399999999999999" x14ac:dyDescent="0.35">
      <c r="E32" s="36"/>
      <c r="F32" s="36"/>
      <c r="G32" s="36"/>
      <c r="H32" s="36"/>
      <c r="I32" s="36"/>
      <c r="J32" s="25"/>
      <c r="K32" s="25"/>
      <c r="L32" s="25"/>
      <c r="M32" s="25"/>
      <c r="N32" s="25"/>
      <c r="O32" s="25"/>
      <c r="P32" s="72"/>
      <c r="Q32" s="72"/>
      <c r="R32" s="25"/>
      <c r="S32" s="25"/>
      <c r="T32" s="25"/>
      <c r="AC32" s="69" t="s">
        <v>219</v>
      </c>
      <c r="AD32" s="69"/>
    </row>
    <row r="33" spans="5:30" ht="17.399999999999999" x14ac:dyDescent="0.35">
      <c r="E33" s="36"/>
      <c r="F33" s="36"/>
      <c r="G33" s="36"/>
      <c r="H33" s="36"/>
      <c r="I33" s="36"/>
      <c r="J33" s="25"/>
      <c r="K33" s="25"/>
      <c r="L33" s="25"/>
      <c r="M33" s="25"/>
      <c r="N33" s="25"/>
      <c r="O33" s="25"/>
      <c r="P33" s="25"/>
      <c r="Q33" s="25"/>
      <c r="R33" s="25"/>
      <c r="S33" s="25"/>
      <c r="T33" s="25"/>
      <c r="AC33" s="70" t="s">
        <v>220</v>
      </c>
      <c r="AD33" s="70"/>
    </row>
    <row r="34" spans="5:30" ht="15.6" x14ac:dyDescent="0.3">
      <c r="E34" s="36"/>
      <c r="F34" s="36"/>
      <c r="G34" s="36"/>
      <c r="H34" s="36"/>
      <c r="I34" s="36"/>
      <c r="J34" s="25"/>
      <c r="K34" s="25"/>
      <c r="L34" s="25"/>
      <c r="M34" s="25"/>
      <c r="N34" s="25"/>
      <c r="O34" s="25"/>
      <c r="P34" s="25"/>
      <c r="Q34" s="25"/>
      <c r="R34" s="25"/>
      <c r="S34" s="25"/>
      <c r="T34" s="25"/>
    </row>
    <row r="35" spans="5:30" ht="15.6" x14ac:dyDescent="0.3">
      <c r="E35" s="36"/>
      <c r="F35" s="36"/>
      <c r="G35" s="36"/>
      <c r="H35" s="36"/>
      <c r="I35" s="36"/>
      <c r="J35" s="25"/>
      <c r="K35" s="25"/>
      <c r="L35" s="25"/>
      <c r="M35" s="25"/>
      <c r="N35" s="25"/>
      <c r="O35" s="25"/>
      <c r="P35" s="72"/>
      <c r="Q35" s="72"/>
      <c r="R35" s="25"/>
      <c r="S35" s="71"/>
      <c r="T35" s="71"/>
    </row>
    <row r="36" spans="5:30" ht="15.6" x14ac:dyDescent="0.3">
      <c r="E36" s="36"/>
      <c r="F36" s="36"/>
      <c r="G36" s="36"/>
      <c r="H36" s="36"/>
      <c r="I36" s="36"/>
      <c r="J36" s="25"/>
      <c r="K36" s="25"/>
      <c r="L36" s="25"/>
      <c r="M36" s="25"/>
      <c r="N36" s="25"/>
      <c r="O36" s="25"/>
      <c r="P36" s="71"/>
      <c r="Q36" s="71"/>
      <c r="R36" s="25"/>
      <c r="S36" s="25"/>
      <c r="T36" s="25"/>
    </row>
    <row r="37" spans="5:30" ht="15.6" x14ac:dyDescent="0.3">
      <c r="E37" s="36"/>
      <c r="F37" s="36"/>
      <c r="G37" s="36"/>
      <c r="H37" s="36"/>
      <c r="I37" s="36"/>
      <c r="J37" s="25"/>
      <c r="K37" s="25"/>
      <c r="L37" s="25"/>
      <c r="M37" s="25"/>
      <c r="N37" s="25"/>
      <c r="O37" s="25"/>
      <c r="P37" s="71"/>
      <c r="Q37" s="71"/>
      <c r="R37" s="25"/>
      <c r="S37" s="25"/>
      <c r="T37" s="25"/>
      <c r="V37" s="82"/>
      <c r="W37" s="82"/>
    </row>
    <row r="38" spans="5:30" ht="15.6" x14ac:dyDescent="0.3">
      <c r="J38" s="25"/>
      <c r="K38" s="25"/>
      <c r="L38" s="25"/>
      <c r="M38" s="25"/>
      <c r="N38" s="25"/>
      <c r="O38" s="25"/>
      <c r="P38" s="25"/>
      <c r="Q38" s="25"/>
      <c r="R38" s="25"/>
      <c r="S38" s="72"/>
      <c r="T38" s="72"/>
      <c r="V38" s="88"/>
      <c r="W38" s="88"/>
    </row>
    <row r="39" spans="5:30" ht="15" customHeight="1" x14ac:dyDescent="0.3">
      <c r="J39" s="25"/>
      <c r="K39" s="25"/>
      <c r="V39" s="82"/>
      <c r="W39" s="82"/>
    </row>
  </sheetData>
  <sheetProtection algorithmName="SHA-512" hashValue="IbD7++opMDCje/htO0Ew5CwMSUpn0M7SsFr7nPQ2FTk795dnLLH1KZfj18OeHs5PvU9MMmR5nvt1+lQK7X04Mg==" saltValue="TxwIw7RsokH306U1GRvFaQ==" spinCount="100000" sheet="1" objects="1" scenarios="1" pivotTables="0"/>
  <mergeCells count="11">
    <mergeCell ref="E14:I14"/>
    <mergeCell ref="J30:K30"/>
    <mergeCell ref="V38:W38"/>
    <mergeCell ref="R1:S1"/>
    <mergeCell ref="R2:S2"/>
    <mergeCell ref="P1:Q2"/>
    <mergeCell ref="V39:W39"/>
    <mergeCell ref="V37:W37"/>
    <mergeCell ref="AE7:AG7"/>
    <mergeCell ref="AE8:AG8"/>
    <mergeCell ref="AE9:AG9"/>
  </mergeCells>
  <dataValidations disablePrompts="1" yWindow="362" count="1">
    <dataValidation allowBlank="1" showInputMessage="1" showErrorMessage="1" prompt="This will show the latest step selected in database." sqref="N3 N12 N21" xr:uid="{00000000-0002-0000-0000-000000000000}"/>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ThisWorkbook.refreshallpivottables">
                <anchor moveWithCells="1" sizeWithCells="1">
                  <from>
                    <xdr:col>9</xdr:col>
                    <xdr:colOff>68580</xdr:colOff>
                    <xdr:row>0</xdr:row>
                    <xdr:rowOff>68580</xdr:rowOff>
                  </from>
                  <to>
                    <xdr:col>10</xdr:col>
                    <xdr:colOff>297180</xdr:colOff>
                    <xdr:row>1</xdr:row>
                    <xdr:rowOff>76200</xdr:rowOff>
                  </to>
                </anchor>
              </controlPr>
            </control>
          </mc:Choice>
        </mc:AlternateContent>
        <mc:AlternateContent xmlns:mc="http://schemas.openxmlformats.org/markup-compatibility/2006">
          <mc:Choice Requires="x14">
            <control shapeId="1026" r:id="rId6" name="Button 2">
              <controlPr defaultSize="0" print="0" autoFill="0" autoPict="0" macro="[0]!fullscreen">
                <anchor moveWithCells="1" sizeWithCells="1">
                  <from>
                    <xdr:col>10</xdr:col>
                    <xdr:colOff>449580</xdr:colOff>
                    <xdr:row>0</xdr:row>
                    <xdr:rowOff>68580</xdr:rowOff>
                  </from>
                  <to>
                    <xdr:col>12</xdr:col>
                    <xdr:colOff>68580</xdr:colOff>
                    <xdr:row>1</xdr:row>
                    <xdr:rowOff>76200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U142"/>
  <sheetViews>
    <sheetView zoomScale="84" zoomScaleNormal="90" workbookViewId="0">
      <selection activeCell="K2" sqref="K2"/>
    </sheetView>
  </sheetViews>
  <sheetFormatPr defaultColWidth="9.109375" defaultRowHeight="15" customHeight="1" x14ac:dyDescent="0.25"/>
  <cols>
    <col min="1" max="1" width="6.109375" style="10" customWidth="1"/>
    <col min="2" max="2" width="31.77734375" style="11" bestFit="1" customWidth="1"/>
    <col min="3" max="3" width="11.33203125" style="11" bestFit="1" customWidth="1"/>
    <col min="4" max="4" width="22.109375" style="11" bestFit="1" customWidth="1"/>
    <col min="5" max="5" width="18.21875" style="11" bestFit="1" customWidth="1"/>
    <col min="6" max="6" width="11.44140625" style="10" bestFit="1" customWidth="1" collapsed="1"/>
    <col min="7" max="7" width="28.33203125" style="11" bestFit="1" customWidth="1"/>
    <col min="8" max="8" width="12.6640625" style="10" bestFit="1" customWidth="1"/>
    <col min="9" max="10" width="12" style="11" customWidth="1"/>
    <col min="11" max="11" width="12" style="11" bestFit="1" customWidth="1"/>
    <col min="12" max="12" width="15.5546875" style="9" bestFit="1" customWidth="1"/>
    <col min="13" max="13" width="14" style="9" bestFit="1" customWidth="1"/>
    <col min="14" max="14" width="13.109375" style="9" bestFit="1" customWidth="1"/>
    <col min="15" max="15" width="14" style="11" bestFit="1" customWidth="1"/>
    <col min="16" max="16" width="16.33203125" style="11" bestFit="1" customWidth="1"/>
    <col min="17" max="17" width="22.33203125" style="11" bestFit="1" customWidth="1"/>
    <col min="18" max="16384" width="9.109375" style="11"/>
  </cols>
  <sheetData>
    <row r="1" spans="1:21" ht="15" customHeight="1" x14ac:dyDescent="0.25">
      <c r="G1" s="12" t="s">
        <v>63</v>
      </c>
      <c r="H1" s="8"/>
      <c r="I1" s="9"/>
      <c r="J1" s="9" t="s">
        <v>36</v>
      </c>
      <c r="K1" s="9"/>
      <c r="L1" s="9" t="s">
        <v>260</v>
      </c>
      <c r="N1" s="9" t="s">
        <v>221</v>
      </c>
      <c r="O1" s="11" t="s">
        <v>251</v>
      </c>
    </row>
    <row r="2" spans="1:21" ht="15" customHeight="1" x14ac:dyDescent="0.3">
      <c r="G2" s="12"/>
      <c r="H2" s="8"/>
      <c r="I2" s="9"/>
      <c r="J2" s="9" t="s">
        <v>34</v>
      </c>
      <c r="K2" s="27" t="s">
        <v>261</v>
      </c>
      <c r="N2" s="9" t="s">
        <v>222</v>
      </c>
      <c r="O2" s="11" t="s">
        <v>250</v>
      </c>
    </row>
    <row r="3" spans="1:21" ht="15" customHeight="1" x14ac:dyDescent="0.25">
      <c r="G3" s="12" t="s">
        <v>64</v>
      </c>
      <c r="H3" s="8"/>
      <c r="I3" s="9"/>
      <c r="J3" s="9"/>
      <c r="K3" s="9"/>
      <c r="N3" s="9" t="s">
        <v>229</v>
      </c>
      <c r="O3" s="11" t="s">
        <v>249</v>
      </c>
      <c r="P3" s="33"/>
    </row>
    <row r="4" spans="1:21" ht="15" customHeight="1" x14ac:dyDescent="0.25">
      <c r="H4" s="8"/>
      <c r="I4" s="9"/>
      <c r="J4" s="9"/>
      <c r="K4" s="9"/>
      <c r="O4" s="5"/>
    </row>
    <row r="5" spans="1:21" s="5" customFormat="1" ht="13.8" x14ac:dyDescent="0.3">
      <c r="A5" s="65" t="s">
        <v>0</v>
      </c>
      <c r="B5" s="65" t="s">
        <v>1</v>
      </c>
      <c r="C5" s="65" t="s">
        <v>2</v>
      </c>
      <c r="D5" s="65" t="s">
        <v>216</v>
      </c>
      <c r="E5" s="65" t="s">
        <v>215</v>
      </c>
      <c r="F5" s="65" t="s">
        <v>3</v>
      </c>
      <c r="G5" s="65" t="s">
        <v>4</v>
      </c>
      <c r="H5" s="65" t="s">
        <v>5</v>
      </c>
      <c r="I5" s="65" t="s">
        <v>218</v>
      </c>
      <c r="J5" s="65" t="s">
        <v>219</v>
      </c>
      <c r="K5" s="65" t="s">
        <v>220</v>
      </c>
      <c r="L5" s="65" t="s">
        <v>43</v>
      </c>
      <c r="M5" s="65" t="s">
        <v>44</v>
      </c>
      <c r="N5" s="65" t="s">
        <v>9</v>
      </c>
      <c r="O5" s="65" t="s">
        <v>10</v>
      </c>
      <c r="P5" s="65" t="s">
        <v>39</v>
      </c>
      <c r="Q5" s="73"/>
      <c r="S5" s="74"/>
      <c r="U5" s="73"/>
    </row>
    <row r="6" spans="1:21" s="13" customFormat="1" ht="14.4" x14ac:dyDescent="0.3">
      <c r="A6">
        <v>1</v>
      </c>
      <c r="B6" s="57" t="s">
        <v>65</v>
      </c>
      <c r="C6" s="57" t="s">
        <v>186</v>
      </c>
      <c r="D6" s="57" t="s">
        <v>199</v>
      </c>
      <c r="E6" s="13" t="s">
        <v>206</v>
      </c>
      <c r="F6" s="57" t="s">
        <v>11</v>
      </c>
      <c r="G6" s="57" t="s">
        <v>38</v>
      </c>
      <c r="H6" s="57" t="s">
        <v>46</v>
      </c>
      <c r="I6" s="57" t="s">
        <v>229</v>
      </c>
      <c r="J6" s="57" t="s">
        <v>227</v>
      </c>
      <c r="K6" s="57" t="s">
        <v>228</v>
      </c>
      <c r="L6" s="57" t="s">
        <v>47</v>
      </c>
      <c r="M6" s="57" t="s">
        <v>48</v>
      </c>
      <c r="N6" s="57" t="s">
        <v>238</v>
      </c>
      <c r="O6"/>
      <c r="P6" s="13" t="s">
        <v>45</v>
      </c>
    </row>
    <row r="7" spans="1:21" s="13" customFormat="1" ht="14.4" x14ac:dyDescent="0.3">
      <c r="A7">
        <v>2</v>
      </c>
      <c r="B7" s="57" t="s">
        <v>66</v>
      </c>
      <c r="C7" s="57" t="s">
        <v>186</v>
      </c>
      <c r="D7" s="57" t="s">
        <v>199</v>
      </c>
      <c r="E7" s="13" t="s">
        <v>206</v>
      </c>
      <c r="F7" s="57" t="s">
        <v>12</v>
      </c>
      <c r="G7" s="57" t="s">
        <v>13</v>
      </c>
      <c r="H7" s="57" t="s">
        <v>46</v>
      </c>
      <c r="I7" s="57" t="s">
        <v>225</v>
      </c>
      <c r="J7" s="57" t="s">
        <v>221</v>
      </c>
      <c r="K7" s="57" t="s">
        <v>222</v>
      </c>
      <c r="L7" s="57" t="s">
        <v>49</v>
      </c>
      <c r="M7" s="57" t="s">
        <v>50</v>
      </c>
      <c r="N7" s="57" t="s">
        <v>239</v>
      </c>
      <c r="O7"/>
      <c r="P7" s="13" t="s">
        <v>45</v>
      </c>
    </row>
    <row r="8" spans="1:21" s="13" customFormat="1" ht="14.4" x14ac:dyDescent="0.3">
      <c r="A8">
        <v>3</v>
      </c>
      <c r="B8" s="57" t="s">
        <v>67</v>
      </c>
      <c r="C8" s="57" t="s">
        <v>186</v>
      </c>
      <c r="D8" s="57" t="s">
        <v>195</v>
      </c>
      <c r="E8" s="13" t="s">
        <v>206</v>
      </c>
      <c r="F8" s="57" t="s">
        <v>12</v>
      </c>
      <c r="G8" s="57" t="s">
        <v>13</v>
      </c>
      <c r="H8" s="57" t="s">
        <v>51</v>
      </c>
      <c r="I8" s="57" t="s">
        <v>227</v>
      </c>
      <c r="J8" s="57" t="s">
        <v>229</v>
      </c>
      <c r="K8" s="57" t="s">
        <v>227</v>
      </c>
      <c r="L8" s="57" t="s">
        <v>49</v>
      </c>
      <c r="M8" s="57" t="s">
        <v>50</v>
      </c>
      <c r="N8" s="57" t="s">
        <v>243</v>
      </c>
      <c r="O8"/>
      <c r="P8" s="13" t="s">
        <v>45</v>
      </c>
    </row>
    <row r="9" spans="1:21" s="13" customFormat="1" ht="14.4" x14ac:dyDescent="0.3">
      <c r="A9">
        <v>4</v>
      </c>
      <c r="B9" s="57" t="s">
        <v>68</v>
      </c>
      <c r="C9" s="57" t="s">
        <v>186</v>
      </c>
      <c r="D9" s="57" t="s">
        <v>203</v>
      </c>
      <c r="E9" s="13" t="s">
        <v>206</v>
      </c>
      <c r="F9" s="57" t="s">
        <v>14</v>
      </c>
      <c r="G9" s="57" t="s">
        <v>15</v>
      </c>
      <c r="H9" s="57" t="s">
        <v>51</v>
      </c>
      <c r="I9" s="57" t="s">
        <v>224</v>
      </c>
      <c r="J9" s="57" t="s">
        <v>229</v>
      </c>
      <c r="K9" s="57" t="s">
        <v>222</v>
      </c>
      <c r="L9" s="57" t="s">
        <v>52</v>
      </c>
      <c r="M9" s="57" t="s">
        <v>53</v>
      </c>
      <c r="N9" s="57" t="s">
        <v>235</v>
      </c>
      <c r="O9"/>
      <c r="P9" s="13" t="s">
        <v>45</v>
      </c>
    </row>
    <row r="10" spans="1:21" s="13" customFormat="1" ht="14.4" x14ac:dyDescent="0.3">
      <c r="A10">
        <v>5</v>
      </c>
      <c r="B10" s="57" t="s">
        <v>69</v>
      </c>
      <c r="C10" s="57" t="s">
        <v>186</v>
      </c>
      <c r="D10" s="57" t="s">
        <v>195</v>
      </c>
      <c r="E10" s="13" t="s">
        <v>206</v>
      </c>
      <c r="F10" s="57" t="s">
        <v>11</v>
      </c>
      <c r="G10" s="57" t="s">
        <v>37</v>
      </c>
      <c r="H10" s="57" t="s">
        <v>51</v>
      </c>
      <c r="I10" s="57" t="s">
        <v>226</v>
      </c>
      <c r="J10" s="57" t="s">
        <v>228</v>
      </c>
      <c r="K10" s="57" t="s">
        <v>223</v>
      </c>
      <c r="L10" s="57" t="s">
        <v>54</v>
      </c>
      <c r="M10" s="57" t="s">
        <v>53</v>
      </c>
      <c r="N10" s="57" t="s">
        <v>241</v>
      </c>
      <c r="O10"/>
      <c r="P10" s="13" t="s">
        <v>45</v>
      </c>
    </row>
    <row r="11" spans="1:21" s="13" customFormat="1" ht="14.4" x14ac:dyDescent="0.3">
      <c r="A11">
        <v>6</v>
      </c>
      <c r="B11" s="57" t="s">
        <v>70</v>
      </c>
      <c r="C11" s="57" t="s">
        <v>186</v>
      </c>
      <c r="D11" s="57" t="s">
        <v>195</v>
      </c>
      <c r="E11" s="13" t="s">
        <v>206</v>
      </c>
      <c r="F11" s="57" t="s">
        <v>11</v>
      </c>
      <c r="G11" s="57" t="s">
        <v>37</v>
      </c>
      <c r="H11" s="57" t="s">
        <v>51</v>
      </c>
      <c r="I11" s="57" t="s">
        <v>223</v>
      </c>
      <c r="J11" s="57" t="s">
        <v>226</v>
      </c>
      <c r="K11" s="57" t="s">
        <v>227</v>
      </c>
      <c r="L11" s="57" t="s">
        <v>54</v>
      </c>
      <c r="M11" s="57" t="s">
        <v>53</v>
      </c>
      <c r="N11" s="57" t="s">
        <v>232</v>
      </c>
      <c r="O11"/>
      <c r="P11" s="13" t="s">
        <v>45</v>
      </c>
    </row>
    <row r="12" spans="1:21" s="13" customFormat="1" ht="14.4" x14ac:dyDescent="0.3">
      <c r="A12">
        <v>7</v>
      </c>
      <c r="B12" s="57" t="s">
        <v>71</v>
      </c>
      <c r="C12" s="57" t="s">
        <v>186</v>
      </c>
      <c r="D12" s="57" t="s">
        <v>195</v>
      </c>
      <c r="E12" s="13" t="s">
        <v>206</v>
      </c>
      <c r="F12" s="57" t="s">
        <v>12</v>
      </c>
      <c r="G12" s="57" t="s">
        <v>13</v>
      </c>
      <c r="H12" s="57" t="s">
        <v>51</v>
      </c>
      <c r="I12" s="57" t="s">
        <v>223</v>
      </c>
      <c r="J12" s="57" t="s">
        <v>221</v>
      </c>
      <c r="K12" s="57" t="s">
        <v>228</v>
      </c>
      <c r="L12" s="57" t="s">
        <v>49</v>
      </c>
      <c r="M12" s="57" t="s">
        <v>50</v>
      </c>
      <c r="N12" s="57" t="s">
        <v>244</v>
      </c>
      <c r="O12"/>
      <c r="P12" s="13" t="s">
        <v>45</v>
      </c>
    </row>
    <row r="13" spans="1:21" s="13" customFormat="1" ht="14.4" x14ac:dyDescent="0.3">
      <c r="A13">
        <v>8</v>
      </c>
      <c r="B13" s="57" t="s">
        <v>72</v>
      </c>
      <c r="C13" s="57" t="s">
        <v>186</v>
      </c>
      <c r="D13" s="57" t="s">
        <v>195</v>
      </c>
      <c r="E13" s="13" t="s">
        <v>206</v>
      </c>
      <c r="F13" s="57" t="s">
        <v>12</v>
      </c>
      <c r="G13" s="57" t="s">
        <v>13</v>
      </c>
      <c r="H13" s="57" t="s">
        <v>46</v>
      </c>
      <c r="I13" s="57" t="s">
        <v>227</v>
      </c>
      <c r="J13" s="57" t="s">
        <v>225</v>
      </c>
      <c r="K13" s="57" t="s">
        <v>228</v>
      </c>
      <c r="L13" s="57" t="s">
        <v>49</v>
      </c>
      <c r="M13" s="57" t="s">
        <v>50</v>
      </c>
      <c r="N13" s="57" t="s">
        <v>230</v>
      </c>
      <c r="O13"/>
      <c r="P13" s="13" t="s">
        <v>45</v>
      </c>
    </row>
    <row r="14" spans="1:21" s="13" customFormat="1" ht="14.4" x14ac:dyDescent="0.3">
      <c r="A14">
        <v>9</v>
      </c>
      <c r="B14" s="57" t="s">
        <v>73</v>
      </c>
      <c r="C14" s="57" t="s">
        <v>186</v>
      </c>
      <c r="D14" s="57" t="s">
        <v>195</v>
      </c>
      <c r="E14" s="13" t="s">
        <v>206</v>
      </c>
      <c r="F14" s="57" t="s">
        <v>11</v>
      </c>
      <c r="G14" s="57" t="s">
        <v>37</v>
      </c>
      <c r="H14" s="57" t="s">
        <v>51</v>
      </c>
      <c r="I14" s="57" t="s">
        <v>229</v>
      </c>
      <c r="J14" s="57" t="s">
        <v>227</v>
      </c>
      <c r="K14" s="57" t="s">
        <v>226</v>
      </c>
      <c r="L14" s="57" t="s">
        <v>54</v>
      </c>
      <c r="M14" s="57" t="s">
        <v>53</v>
      </c>
      <c r="N14" s="57" t="s">
        <v>239</v>
      </c>
      <c r="O14"/>
      <c r="P14" s="13" t="s">
        <v>45</v>
      </c>
    </row>
    <row r="15" spans="1:21" s="13" customFormat="1" ht="14.4" x14ac:dyDescent="0.3">
      <c r="A15">
        <v>10</v>
      </c>
      <c r="B15" s="57" t="s">
        <v>74</v>
      </c>
      <c r="C15" s="57" t="s">
        <v>186</v>
      </c>
      <c r="D15" s="57" t="s">
        <v>195</v>
      </c>
      <c r="E15" s="13" t="s">
        <v>206</v>
      </c>
      <c r="F15" s="57" t="s">
        <v>11</v>
      </c>
      <c r="G15" s="57" t="s">
        <v>37</v>
      </c>
      <c r="H15" s="57" t="s">
        <v>51</v>
      </c>
      <c r="I15" s="57" t="s">
        <v>228</v>
      </c>
      <c r="J15" s="57" t="s">
        <v>221</v>
      </c>
      <c r="K15" s="57" t="s">
        <v>227</v>
      </c>
      <c r="L15" s="57" t="s">
        <v>54</v>
      </c>
      <c r="M15" s="57" t="s">
        <v>53</v>
      </c>
      <c r="N15" s="57" t="s">
        <v>230</v>
      </c>
      <c r="O15"/>
      <c r="P15" s="13" t="s">
        <v>45</v>
      </c>
    </row>
    <row r="16" spans="1:21" s="13" customFormat="1" ht="14.4" x14ac:dyDescent="0.3">
      <c r="A16">
        <v>11</v>
      </c>
      <c r="B16" s="57" t="s">
        <v>75</v>
      </c>
      <c r="C16" s="57" t="s">
        <v>186</v>
      </c>
      <c r="D16" s="57" t="s">
        <v>195</v>
      </c>
      <c r="E16" s="13" t="s">
        <v>206</v>
      </c>
      <c r="F16" s="57" t="s">
        <v>11</v>
      </c>
      <c r="G16" s="57" t="s">
        <v>37</v>
      </c>
      <c r="H16" s="57" t="s">
        <v>51</v>
      </c>
      <c r="I16" s="57" t="s">
        <v>224</v>
      </c>
      <c r="J16" s="57" t="s">
        <v>221</v>
      </c>
      <c r="K16" s="57" t="s">
        <v>228</v>
      </c>
      <c r="L16" s="57" t="s">
        <v>54</v>
      </c>
      <c r="M16" s="57" t="s">
        <v>53</v>
      </c>
      <c r="N16" s="57" t="s">
        <v>230</v>
      </c>
      <c r="O16"/>
      <c r="P16" s="13" t="s">
        <v>45</v>
      </c>
    </row>
    <row r="17" spans="1:16" s="13" customFormat="1" ht="14.4" x14ac:dyDescent="0.3">
      <c r="A17">
        <v>12</v>
      </c>
      <c r="B17" s="57" t="s">
        <v>76</v>
      </c>
      <c r="C17" s="57" t="s">
        <v>186</v>
      </c>
      <c r="D17" s="57" t="s">
        <v>195</v>
      </c>
      <c r="E17" s="13" t="s">
        <v>206</v>
      </c>
      <c r="F17" s="57" t="s">
        <v>11</v>
      </c>
      <c r="G17" s="57" t="s">
        <v>37</v>
      </c>
      <c r="H17" s="57" t="s">
        <v>51</v>
      </c>
      <c r="I17" s="57" t="s">
        <v>229</v>
      </c>
      <c r="J17" s="57" t="s">
        <v>228</v>
      </c>
      <c r="K17" s="57" t="s">
        <v>223</v>
      </c>
      <c r="L17" s="57" t="s">
        <v>54</v>
      </c>
      <c r="M17" s="57" t="s">
        <v>53</v>
      </c>
      <c r="N17" s="57" t="s">
        <v>245</v>
      </c>
      <c r="O17"/>
      <c r="P17" s="13" t="s">
        <v>45</v>
      </c>
    </row>
    <row r="18" spans="1:16" s="13" customFormat="1" ht="14.4" x14ac:dyDescent="0.3">
      <c r="A18">
        <v>13</v>
      </c>
      <c r="B18" s="57" t="s">
        <v>77</v>
      </c>
      <c r="C18" s="57" t="s">
        <v>186</v>
      </c>
      <c r="D18" s="57" t="s">
        <v>199</v>
      </c>
      <c r="E18" s="13" t="s">
        <v>206</v>
      </c>
      <c r="F18" s="57" t="s">
        <v>12</v>
      </c>
      <c r="G18" s="57" t="s">
        <v>13</v>
      </c>
      <c r="H18" s="57" t="s">
        <v>51</v>
      </c>
      <c r="I18" s="57" t="s">
        <v>221</v>
      </c>
      <c r="J18" s="57" t="s">
        <v>225</v>
      </c>
      <c r="K18" s="57" t="s">
        <v>227</v>
      </c>
      <c r="L18" s="57" t="s">
        <v>49</v>
      </c>
      <c r="M18" s="57" t="s">
        <v>50</v>
      </c>
      <c r="N18" s="57" t="s">
        <v>239</v>
      </c>
      <c r="O18"/>
      <c r="P18" s="13" t="s">
        <v>45</v>
      </c>
    </row>
    <row r="19" spans="1:16" s="13" customFormat="1" ht="14.4" x14ac:dyDescent="0.3">
      <c r="A19">
        <v>14</v>
      </c>
      <c r="B19" s="57" t="s">
        <v>78</v>
      </c>
      <c r="C19" s="57" t="s">
        <v>186</v>
      </c>
      <c r="D19" s="57" t="s">
        <v>203</v>
      </c>
      <c r="E19" s="13" t="s">
        <v>206</v>
      </c>
      <c r="F19" s="57" t="s">
        <v>14</v>
      </c>
      <c r="G19" s="57" t="s">
        <v>15</v>
      </c>
      <c r="H19" s="57" t="s">
        <v>51</v>
      </c>
      <c r="I19" s="57" t="s">
        <v>225</v>
      </c>
      <c r="J19" s="57" t="s">
        <v>221</v>
      </c>
      <c r="K19" s="57" t="s">
        <v>226</v>
      </c>
      <c r="L19" s="57" t="s">
        <v>52</v>
      </c>
      <c r="M19" s="57" t="s">
        <v>53</v>
      </c>
      <c r="N19" s="57" t="s">
        <v>236</v>
      </c>
      <c r="O19"/>
      <c r="P19" s="13" t="s">
        <v>45</v>
      </c>
    </row>
    <row r="20" spans="1:16" s="13" customFormat="1" ht="14.4" x14ac:dyDescent="0.3">
      <c r="A20">
        <v>15</v>
      </c>
      <c r="B20" s="57" t="s">
        <v>79</v>
      </c>
      <c r="C20" s="57" t="s">
        <v>186</v>
      </c>
      <c r="D20" s="57" t="s">
        <v>199</v>
      </c>
      <c r="E20" s="13" t="s">
        <v>207</v>
      </c>
      <c r="F20" s="57" t="s">
        <v>14</v>
      </c>
      <c r="G20" s="57" t="s">
        <v>17</v>
      </c>
      <c r="H20" s="57" t="s">
        <v>51</v>
      </c>
      <c r="I20" s="57" t="s">
        <v>229</v>
      </c>
      <c r="J20" s="57" t="s">
        <v>227</v>
      </c>
      <c r="K20" s="57" t="s">
        <v>223</v>
      </c>
      <c r="L20" s="57" t="s">
        <v>52</v>
      </c>
      <c r="M20" s="57" t="s">
        <v>53</v>
      </c>
      <c r="N20" s="57" t="s">
        <v>236</v>
      </c>
      <c r="O20"/>
      <c r="P20" s="13" t="s">
        <v>45</v>
      </c>
    </row>
    <row r="21" spans="1:16" s="13" customFormat="1" ht="14.4" x14ac:dyDescent="0.3">
      <c r="A21">
        <v>16</v>
      </c>
      <c r="B21" s="57" t="s">
        <v>80</v>
      </c>
      <c r="C21" s="57" t="s">
        <v>186</v>
      </c>
      <c r="D21" s="57" t="s">
        <v>199</v>
      </c>
      <c r="E21" s="13" t="s">
        <v>207</v>
      </c>
      <c r="F21" s="57" t="s">
        <v>11</v>
      </c>
      <c r="G21" s="57" t="s">
        <v>37</v>
      </c>
      <c r="H21" s="57" t="s">
        <v>51</v>
      </c>
      <c r="I21" s="57" t="s">
        <v>226</v>
      </c>
      <c r="J21" s="57" t="s">
        <v>227</v>
      </c>
      <c r="K21" s="57" t="s">
        <v>229</v>
      </c>
      <c r="L21" s="57" t="s">
        <v>54</v>
      </c>
      <c r="M21" s="57" t="s">
        <v>53</v>
      </c>
      <c r="N21" s="57" t="s">
        <v>231</v>
      </c>
      <c r="O21"/>
      <c r="P21" s="13" t="s">
        <v>45</v>
      </c>
    </row>
    <row r="22" spans="1:16" s="13" customFormat="1" ht="14.4" x14ac:dyDescent="0.3">
      <c r="A22">
        <v>17</v>
      </c>
      <c r="B22" s="57" t="s">
        <v>81</v>
      </c>
      <c r="C22" s="57" t="s">
        <v>186</v>
      </c>
      <c r="D22" s="57" t="s">
        <v>199</v>
      </c>
      <c r="E22" s="13" t="s">
        <v>207</v>
      </c>
      <c r="F22" s="57" t="s">
        <v>11</v>
      </c>
      <c r="G22" s="57" t="s">
        <v>37</v>
      </c>
      <c r="H22" s="57" t="s">
        <v>51</v>
      </c>
      <c r="I22" s="57" t="s">
        <v>223</v>
      </c>
      <c r="J22" s="57" t="s">
        <v>227</v>
      </c>
      <c r="K22" s="57" t="s">
        <v>223</v>
      </c>
      <c r="L22" s="57" t="s">
        <v>54</v>
      </c>
      <c r="M22" s="57" t="s">
        <v>53</v>
      </c>
      <c r="N22" s="57" t="s">
        <v>243</v>
      </c>
      <c r="O22"/>
      <c r="P22" s="13" t="s">
        <v>45</v>
      </c>
    </row>
    <row r="23" spans="1:16" s="13" customFormat="1" ht="14.4" x14ac:dyDescent="0.3">
      <c r="A23">
        <v>18</v>
      </c>
      <c r="B23" s="57" t="s">
        <v>82</v>
      </c>
      <c r="C23" s="57" t="s">
        <v>186</v>
      </c>
      <c r="D23" s="57" t="s">
        <v>199</v>
      </c>
      <c r="E23" s="13" t="s">
        <v>207</v>
      </c>
      <c r="F23" s="57" t="s">
        <v>11</v>
      </c>
      <c r="G23" s="57" t="s">
        <v>37</v>
      </c>
      <c r="H23" s="57" t="s">
        <v>51</v>
      </c>
      <c r="I23" s="57" t="s">
        <v>221</v>
      </c>
      <c r="J23" s="57" t="s">
        <v>222</v>
      </c>
      <c r="K23" s="57" t="s">
        <v>229</v>
      </c>
      <c r="L23" s="57" t="s">
        <v>54</v>
      </c>
      <c r="M23" s="57" t="s">
        <v>53</v>
      </c>
      <c r="N23" s="57" t="s">
        <v>236</v>
      </c>
      <c r="O23"/>
      <c r="P23" s="13" t="s">
        <v>45</v>
      </c>
    </row>
    <row r="24" spans="1:16" s="13" customFormat="1" ht="14.4" x14ac:dyDescent="0.3">
      <c r="A24">
        <v>19</v>
      </c>
      <c r="B24" s="57" t="s">
        <v>83</v>
      </c>
      <c r="C24" s="57" t="s">
        <v>186</v>
      </c>
      <c r="D24" s="57" t="s">
        <v>195</v>
      </c>
      <c r="E24" s="13" t="s">
        <v>207</v>
      </c>
      <c r="F24" s="57" t="s">
        <v>11</v>
      </c>
      <c r="G24" s="57" t="s">
        <v>38</v>
      </c>
      <c r="H24" s="57" t="s">
        <v>51</v>
      </c>
      <c r="I24" s="57" t="s">
        <v>229</v>
      </c>
      <c r="J24" s="57" t="s">
        <v>226</v>
      </c>
      <c r="K24" s="57" t="s">
        <v>221</v>
      </c>
      <c r="L24" s="57" t="s">
        <v>47</v>
      </c>
      <c r="M24" s="57" t="s">
        <v>48</v>
      </c>
      <c r="N24" s="57" t="s">
        <v>241</v>
      </c>
      <c r="O24"/>
      <c r="P24" s="13" t="s">
        <v>45</v>
      </c>
    </row>
    <row r="25" spans="1:16" s="13" customFormat="1" ht="14.4" x14ac:dyDescent="0.3">
      <c r="A25">
        <v>20</v>
      </c>
      <c r="B25" s="57" t="s">
        <v>84</v>
      </c>
      <c r="C25" s="57" t="s">
        <v>186</v>
      </c>
      <c r="D25" s="57" t="s">
        <v>199</v>
      </c>
      <c r="E25" s="13" t="s">
        <v>207</v>
      </c>
      <c r="F25" s="57" t="s">
        <v>12</v>
      </c>
      <c r="G25" s="57" t="s">
        <v>13</v>
      </c>
      <c r="H25" s="57" t="s">
        <v>51</v>
      </c>
      <c r="I25" s="57" t="s">
        <v>226</v>
      </c>
      <c r="J25" s="57" t="s">
        <v>225</v>
      </c>
      <c r="K25" s="57" t="s">
        <v>225</v>
      </c>
      <c r="L25" s="57" t="s">
        <v>49</v>
      </c>
      <c r="M25" s="57" t="s">
        <v>50</v>
      </c>
      <c r="N25" s="57" t="s">
        <v>239</v>
      </c>
      <c r="O25"/>
      <c r="P25" s="13" t="s">
        <v>45</v>
      </c>
    </row>
    <row r="26" spans="1:16" s="13" customFormat="1" ht="14.4" x14ac:dyDescent="0.3">
      <c r="A26">
        <v>21</v>
      </c>
      <c r="B26" s="57" t="s">
        <v>85</v>
      </c>
      <c r="C26" s="57" t="s">
        <v>186</v>
      </c>
      <c r="D26" s="57" t="s">
        <v>195</v>
      </c>
      <c r="E26" s="13" t="s">
        <v>207</v>
      </c>
      <c r="F26" s="57" t="s">
        <v>12</v>
      </c>
      <c r="G26" s="57" t="s">
        <v>13</v>
      </c>
      <c r="H26" s="57" t="s">
        <v>51</v>
      </c>
      <c r="I26" s="57" t="s">
        <v>228</v>
      </c>
      <c r="J26" s="57" t="s">
        <v>227</v>
      </c>
      <c r="K26" s="57" t="s">
        <v>225</v>
      </c>
      <c r="L26" s="57" t="s">
        <v>49</v>
      </c>
      <c r="M26" s="57" t="s">
        <v>50</v>
      </c>
      <c r="N26" s="57" t="s">
        <v>238</v>
      </c>
      <c r="O26"/>
      <c r="P26" s="13" t="s">
        <v>45</v>
      </c>
    </row>
    <row r="27" spans="1:16" s="13" customFormat="1" ht="14.4" x14ac:dyDescent="0.3">
      <c r="A27">
        <v>22</v>
      </c>
      <c r="B27" s="57" t="s">
        <v>86</v>
      </c>
      <c r="C27" s="57" t="s">
        <v>186</v>
      </c>
      <c r="D27" s="57" t="s">
        <v>195</v>
      </c>
      <c r="E27" s="13" t="s">
        <v>207</v>
      </c>
      <c r="F27" s="57" t="s">
        <v>11</v>
      </c>
      <c r="G27" s="57" t="s">
        <v>38</v>
      </c>
      <c r="H27" s="57" t="s">
        <v>51</v>
      </c>
      <c r="I27" s="57" t="s">
        <v>224</v>
      </c>
      <c r="J27" s="57" t="s">
        <v>225</v>
      </c>
      <c r="K27" s="57" t="s">
        <v>223</v>
      </c>
      <c r="L27" s="57" t="s">
        <v>49</v>
      </c>
      <c r="M27" s="57" t="s">
        <v>50</v>
      </c>
      <c r="N27" s="57" t="s">
        <v>237</v>
      </c>
      <c r="O27"/>
      <c r="P27" s="13" t="s">
        <v>45</v>
      </c>
    </row>
    <row r="28" spans="1:16" s="13" customFormat="1" ht="14.4" x14ac:dyDescent="0.3">
      <c r="A28">
        <v>23</v>
      </c>
      <c r="B28" s="57" t="s">
        <v>87</v>
      </c>
      <c r="C28" s="57" t="s">
        <v>186</v>
      </c>
      <c r="D28" s="57" t="s">
        <v>195</v>
      </c>
      <c r="E28" s="13" t="s">
        <v>207</v>
      </c>
      <c r="F28" s="57" t="s">
        <v>11</v>
      </c>
      <c r="G28" s="57" t="s">
        <v>37</v>
      </c>
      <c r="H28" s="57" t="s">
        <v>51</v>
      </c>
      <c r="I28" s="57" t="s">
        <v>228</v>
      </c>
      <c r="J28" s="57" t="s">
        <v>228</v>
      </c>
      <c r="K28" s="57" t="s">
        <v>225</v>
      </c>
      <c r="L28" s="57" t="s">
        <v>54</v>
      </c>
      <c r="M28" s="57" t="s">
        <v>53</v>
      </c>
      <c r="N28" s="57" t="s">
        <v>234</v>
      </c>
      <c r="O28"/>
      <c r="P28" s="13" t="s">
        <v>45</v>
      </c>
    </row>
    <row r="29" spans="1:16" s="13" customFormat="1" ht="14.4" x14ac:dyDescent="0.3">
      <c r="A29">
        <v>24</v>
      </c>
      <c r="B29" s="57" t="s">
        <v>88</v>
      </c>
      <c r="C29" s="57" t="s">
        <v>186</v>
      </c>
      <c r="D29" s="57" t="s">
        <v>195</v>
      </c>
      <c r="E29" s="13" t="s">
        <v>207</v>
      </c>
      <c r="F29" s="57" t="s">
        <v>11</v>
      </c>
      <c r="G29" s="57" t="s">
        <v>37</v>
      </c>
      <c r="H29" s="57" t="s">
        <v>51</v>
      </c>
      <c r="I29" s="57" t="s">
        <v>227</v>
      </c>
      <c r="J29" s="57" t="s">
        <v>223</v>
      </c>
      <c r="K29" s="57" t="s">
        <v>228</v>
      </c>
      <c r="L29" s="57" t="s">
        <v>54</v>
      </c>
      <c r="M29" s="57" t="s">
        <v>53</v>
      </c>
      <c r="N29" s="57" t="s">
        <v>241</v>
      </c>
      <c r="O29"/>
      <c r="P29" s="13" t="s">
        <v>45</v>
      </c>
    </row>
    <row r="30" spans="1:16" s="13" customFormat="1" ht="14.4" x14ac:dyDescent="0.3">
      <c r="A30">
        <v>25</v>
      </c>
      <c r="B30" s="57" t="s">
        <v>89</v>
      </c>
      <c r="C30" s="57" t="s">
        <v>186</v>
      </c>
      <c r="D30" s="57" t="s">
        <v>195</v>
      </c>
      <c r="E30" s="13" t="s">
        <v>207</v>
      </c>
      <c r="F30" s="57" t="s">
        <v>11</v>
      </c>
      <c r="G30" s="57" t="s">
        <v>37</v>
      </c>
      <c r="H30" s="57" t="s">
        <v>46</v>
      </c>
      <c r="I30" s="57" t="s">
        <v>222</v>
      </c>
      <c r="J30" s="57" t="s">
        <v>225</v>
      </c>
      <c r="K30" s="57" t="s">
        <v>229</v>
      </c>
      <c r="L30" s="57" t="s">
        <v>54</v>
      </c>
      <c r="M30" s="57" t="s">
        <v>53</v>
      </c>
      <c r="N30" s="57" t="s">
        <v>237</v>
      </c>
      <c r="O30"/>
      <c r="P30" s="13" t="s">
        <v>45</v>
      </c>
    </row>
    <row r="31" spans="1:16" s="13" customFormat="1" ht="14.4" x14ac:dyDescent="0.3">
      <c r="A31">
        <v>26</v>
      </c>
      <c r="B31" s="57" t="s">
        <v>90</v>
      </c>
      <c r="C31" s="57" t="s">
        <v>186</v>
      </c>
      <c r="D31" s="57" t="s">
        <v>195</v>
      </c>
      <c r="E31" s="13" t="s">
        <v>207</v>
      </c>
      <c r="F31" s="57" t="s">
        <v>11</v>
      </c>
      <c r="G31" s="57" t="s">
        <v>37</v>
      </c>
      <c r="H31" s="57" t="s">
        <v>46</v>
      </c>
      <c r="I31" s="57" t="s">
        <v>221</v>
      </c>
      <c r="J31" s="57" t="s">
        <v>224</v>
      </c>
      <c r="K31" s="57" t="s">
        <v>223</v>
      </c>
      <c r="L31" s="57" t="s">
        <v>54</v>
      </c>
      <c r="M31" s="57" t="s">
        <v>53</v>
      </c>
      <c r="N31" s="57" t="s">
        <v>230</v>
      </c>
      <c r="O31"/>
      <c r="P31" s="13" t="s">
        <v>45</v>
      </c>
    </row>
    <row r="32" spans="1:16" s="13" customFormat="1" ht="14.4" x14ac:dyDescent="0.3">
      <c r="A32">
        <v>27</v>
      </c>
      <c r="B32" s="57" t="s">
        <v>91</v>
      </c>
      <c r="C32" s="57" t="s">
        <v>186</v>
      </c>
      <c r="D32" s="57" t="s">
        <v>195</v>
      </c>
      <c r="E32" s="13" t="s">
        <v>207</v>
      </c>
      <c r="F32" s="57" t="s">
        <v>11</v>
      </c>
      <c r="G32" s="57" t="s">
        <v>37</v>
      </c>
      <c r="H32" s="57" t="s">
        <v>46</v>
      </c>
      <c r="I32" s="57" t="s">
        <v>221</v>
      </c>
      <c r="J32" s="57" t="s">
        <v>223</v>
      </c>
      <c r="K32" s="57" t="s">
        <v>228</v>
      </c>
      <c r="L32" s="57" t="s">
        <v>54</v>
      </c>
      <c r="M32" s="57" t="s">
        <v>53</v>
      </c>
      <c r="N32" s="57" t="s">
        <v>240</v>
      </c>
      <c r="O32"/>
      <c r="P32" s="13" t="s">
        <v>45</v>
      </c>
    </row>
    <row r="33" spans="1:16" s="13" customFormat="1" ht="14.4" x14ac:dyDescent="0.3">
      <c r="A33">
        <v>28</v>
      </c>
      <c r="B33" s="57" t="s">
        <v>92</v>
      </c>
      <c r="C33" s="57" t="s">
        <v>186</v>
      </c>
      <c r="D33" s="57" t="s">
        <v>199</v>
      </c>
      <c r="E33" s="13" t="s">
        <v>207</v>
      </c>
      <c r="F33" s="57" t="s">
        <v>11</v>
      </c>
      <c r="G33" s="57" t="s">
        <v>37</v>
      </c>
      <c r="H33" s="57" t="s">
        <v>51</v>
      </c>
      <c r="I33" s="57" t="s">
        <v>229</v>
      </c>
      <c r="J33" s="57" t="s">
        <v>224</v>
      </c>
      <c r="K33" s="57" t="s">
        <v>229</v>
      </c>
      <c r="L33" s="57" t="s">
        <v>54</v>
      </c>
      <c r="M33" s="57" t="s">
        <v>53</v>
      </c>
      <c r="N33" s="57" t="s">
        <v>244</v>
      </c>
      <c r="O33"/>
      <c r="P33" s="13" t="s">
        <v>45</v>
      </c>
    </row>
    <row r="34" spans="1:16" s="13" customFormat="1" ht="14.4" x14ac:dyDescent="0.3">
      <c r="A34">
        <v>29</v>
      </c>
      <c r="B34" s="57" t="s">
        <v>93</v>
      </c>
      <c r="C34" s="57" t="s">
        <v>187</v>
      </c>
      <c r="D34" s="57" t="s">
        <v>195</v>
      </c>
      <c r="E34" s="57" t="s">
        <v>208</v>
      </c>
      <c r="F34" s="57" t="s">
        <v>12</v>
      </c>
      <c r="G34" s="57" t="s">
        <v>38</v>
      </c>
      <c r="H34" s="57" t="s">
        <v>46</v>
      </c>
      <c r="I34" s="57" t="s">
        <v>224</v>
      </c>
      <c r="J34" s="57" t="s">
        <v>222</v>
      </c>
      <c r="K34" s="57" t="s">
        <v>221</v>
      </c>
      <c r="L34" s="57" t="s">
        <v>59</v>
      </c>
      <c r="M34" s="57" t="s">
        <v>53</v>
      </c>
      <c r="N34" s="57" t="s">
        <v>245</v>
      </c>
      <c r="O34"/>
      <c r="P34" s="13" t="s">
        <v>45</v>
      </c>
    </row>
    <row r="35" spans="1:16" s="13" customFormat="1" ht="14.4" x14ac:dyDescent="0.3">
      <c r="A35">
        <v>30</v>
      </c>
      <c r="B35" s="57" t="s">
        <v>94</v>
      </c>
      <c r="C35" s="57" t="s">
        <v>187</v>
      </c>
      <c r="D35" s="57" t="s">
        <v>195</v>
      </c>
      <c r="E35" s="57" t="s">
        <v>205</v>
      </c>
      <c r="F35" s="57" t="s">
        <v>12</v>
      </c>
      <c r="G35" s="57" t="s">
        <v>38</v>
      </c>
      <c r="H35" s="57" t="s">
        <v>51</v>
      </c>
      <c r="I35" s="57" t="s">
        <v>225</v>
      </c>
      <c r="J35" s="57" t="s">
        <v>229</v>
      </c>
      <c r="K35" s="57" t="s">
        <v>226</v>
      </c>
      <c r="L35" s="57" t="s">
        <v>59</v>
      </c>
      <c r="M35" s="57" t="s">
        <v>53</v>
      </c>
      <c r="N35" s="57" t="s">
        <v>239</v>
      </c>
      <c r="O35"/>
      <c r="P35" s="13" t="s">
        <v>45</v>
      </c>
    </row>
    <row r="36" spans="1:16" s="13" customFormat="1" ht="14.4" x14ac:dyDescent="0.3">
      <c r="A36">
        <v>31</v>
      </c>
      <c r="B36" s="57" t="s">
        <v>95</v>
      </c>
      <c r="C36" s="57" t="s">
        <v>187</v>
      </c>
      <c r="D36" s="57" t="s">
        <v>195</v>
      </c>
      <c r="E36" s="57" t="s">
        <v>208</v>
      </c>
      <c r="F36" s="57" t="s">
        <v>14</v>
      </c>
      <c r="G36" s="57" t="s">
        <v>15</v>
      </c>
      <c r="H36" s="57" t="s">
        <v>46</v>
      </c>
      <c r="I36" s="57" t="s">
        <v>229</v>
      </c>
      <c r="J36" s="57" t="s">
        <v>222</v>
      </c>
      <c r="K36" s="57" t="s">
        <v>222</v>
      </c>
      <c r="L36" s="57" t="s">
        <v>52</v>
      </c>
      <c r="M36" s="57" t="s">
        <v>53</v>
      </c>
      <c r="N36" s="57" t="s">
        <v>236</v>
      </c>
      <c r="O36"/>
      <c r="P36" s="13" t="s">
        <v>45</v>
      </c>
    </row>
    <row r="37" spans="1:16" s="13" customFormat="1" ht="14.4" x14ac:dyDescent="0.3">
      <c r="A37">
        <v>32</v>
      </c>
      <c r="B37" s="57" t="s">
        <v>96</v>
      </c>
      <c r="C37" s="57" t="s">
        <v>187</v>
      </c>
      <c r="D37" s="57" t="s">
        <v>195</v>
      </c>
      <c r="E37" s="57" t="s">
        <v>205</v>
      </c>
      <c r="F37" s="57" t="s">
        <v>12</v>
      </c>
      <c r="G37" s="57" t="s">
        <v>38</v>
      </c>
      <c r="H37" s="57" t="s">
        <v>51</v>
      </c>
      <c r="I37" s="57" t="s">
        <v>221</v>
      </c>
      <c r="J37" s="57" t="s">
        <v>225</v>
      </c>
      <c r="K37" s="57" t="s">
        <v>229</v>
      </c>
      <c r="L37" s="57" t="s">
        <v>59</v>
      </c>
      <c r="M37" s="57" t="s">
        <v>53</v>
      </c>
      <c r="N37" s="57" t="s">
        <v>238</v>
      </c>
      <c r="O37"/>
      <c r="P37" s="13" t="s">
        <v>45</v>
      </c>
    </row>
    <row r="38" spans="1:16" s="13" customFormat="1" ht="14.4" x14ac:dyDescent="0.3">
      <c r="A38">
        <v>33</v>
      </c>
      <c r="B38" s="57" t="s">
        <v>97</v>
      </c>
      <c r="C38" s="57" t="s">
        <v>187</v>
      </c>
      <c r="D38" s="57" t="s">
        <v>195</v>
      </c>
      <c r="E38" s="57" t="s">
        <v>205</v>
      </c>
      <c r="F38" s="57" t="s">
        <v>12</v>
      </c>
      <c r="G38" s="57" t="s">
        <v>38</v>
      </c>
      <c r="H38" s="57" t="s">
        <v>51</v>
      </c>
      <c r="I38" s="57" t="s">
        <v>222</v>
      </c>
      <c r="J38" s="57" t="s">
        <v>222</v>
      </c>
      <c r="K38" s="57" t="s">
        <v>222</v>
      </c>
      <c r="L38" s="57" t="s">
        <v>59</v>
      </c>
      <c r="M38" s="57" t="s">
        <v>53</v>
      </c>
      <c r="N38" s="57" t="s">
        <v>231</v>
      </c>
      <c r="O38"/>
      <c r="P38" s="13" t="s">
        <v>40</v>
      </c>
    </row>
    <row r="39" spans="1:16" s="13" customFormat="1" ht="14.4" x14ac:dyDescent="0.3">
      <c r="A39">
        <v>34</v>
      </c>
      <c r="B39" s="57" t="s">
        <v>98</v>
      </c>
      <c r="C39" s="57" t="s">
        <v>187</v>
      </c>
      <c r="D39" s="57" t="s">
        <v>195</v>
      </c>
      <c r="E39" s="57" t="s">
        <v>208</v>
      </c>
      <c r="F39" s="57" t="s">
        <v>12</v>
      </c>
      <c r="G39" s="57" t="s">
        <v>13</v>
      </c>
      <c r="H39" s="57" t="s">
        <v>51</v>
      </c>
      <c r="I39" s="57" t="s">
        <v>221</v>
      </c>
      <c r="J39" s="57" t="s">
        <v>225</v>
      </c>
      <c r="K39" s="57" t="s">
        <v>229</v>
      </c>
      <c r="L39" s="57" t="s">
        <v>59</v>
      </c>
      <c r="M39" s="57" t="s">
        <v>49</v>
      </c>
      <c r="N39" s="57" t="s">
        <v>234</v>
      </c>
      <c r="O39"/>
      <c r="P39" s="13" t="s">
        <v>45</v>
      </c>
    </row>
    <row r="40" spans="1:16" s="13" customFormat="1" ht="14.4" x14ac:dyDescent="0.3">
      <c r="A40">
        <v>35</v>
      </c>
      <c r="B40" s="57" t="s">
        <v>99</v>
      </c>
      <c r="C40" s="57" t="s">
        <v>187</v>
      </c>
      <c r="D40" s="57" t="s">
        <v>195</v>
      </c>
      <c r="E40" s="57" t="s">
        <v>208</v>
      </c>
      <c r="F40" s="57" t="s">
        <v>11</v>
      </c>
      <c r="G40" s="57" t="s">
        <v>38</v>
      </c>
      <c r="H40" s="57" t="s">
        <v>51</v>
      </c>
      <c r="I40" s="57" t="s">
        <v>229</v>
      </c>
      <c r="J40" s="57" t="s">
        <v>221</v>
      </c>
      <c r="K40" s="57" t="s">
        <v>223</v>
      </c>
      <c r="L40" s="57" t="s">
        <v>54</v>
      </c>
      <c r="M40" s="57" t="s">
        <v>53</v>
      </c>
      <c r="N40" s="57" t="s">
        <v>247</v>
      </c>
      <c r="O40"/>
      <c r="P40" s="13" t="s">
        <v>45</v>
      </c>
    </row>
    <row r="41" spans="1:16" s="13" customFormat="1" ht="14.4" x14ac:dyDescent="0.3">
      <c r="A41">
        <v>36</v>
      </c>
      <c r="B41" s="57" t="s">
        <v>100</v>
      </c>
      <c r="C41" s="57" t="s">
        <v>187</v>
      </c>
      <c r="D41" s="57" t="s">
        <v>195</v>
      </c>
      <c r="E41" s="57" t="s">
        <v>205</v>
      </c>
      <c r="F41" s="57" t="s">
        <v>12</v>
      </c>
      <c r="G41" s="57" t="s">
        <v>38</v>
      </c>
      <c r="H41" s="57" t="s">
        <v>51</v>
      </c>
      <c r="I41" s="57" t="s">
        <v>221</v>
      </c>
      <c r="J41" s="57" t="s">
        <v>224</v>
      </c>
      <c r="K41" s="57" t="s">
        <v>221</v>
      </c>
      <c r="L41" s="57" t="s">
        <v>59</v>
      </c>
      <c r="M41" s="57" t="s">
        <v>53</v>
      </c>
      <c r="N41" s="57" t="s">
        <v>230</v>
      </c>
      <c r="O41"/>
      <c r="P41" s="13" t="s">
        <v>45</v>
      </c>
    </row>
    <row r="42" spans="1:16" s="13" customFormat="1" ht="14.4" x14ac:dyDescent="0.3">
      <c r="A42">
        <v>37</v>
      </c>
      <c r="B42" s="57" t="s">
        <v>101</v>
      </c>
      <c r="C42" s="57" t="s">
        <v>187</v>
      </c>
      <c r="D42" s="57" t="s">
        <v>195</v>
      </c>
      <c r="E42" s="57" t="s">
        <v>208</v>
      </c>
      <c r="F42" s="57" t="s">
        <v>12</v>
      </c>
      <c r="G42" s="57" t="s">
        <v>38</v>
      </c>
      <c r="H42" s="57" t="s">
        <v>51</v>
      </c>
      <c r="I42" s="57" t="s">
        <v>229</v>
      </c>
      <c r="J42" s="57" t="s">
        <v>224</v>
      </c>
      <c r="K42" s="57" t="s">
        <v>229</v>
      </c>
      <c r="L42" s="57" t="s">
        <v>59</v>
      </c>
      <c r="M42" s="57" t="s">
        <v>53</v>
      </c>
      <c r="N42" s="57" t="s">
        <v>233</v>
      </c>
      <c r="O42"/>
      <c r="P42" s="13" t="s">
        <v>45</v>
      </c>
    </row>
    <row r="43" spans="1:16" s="13" customFormat="1" ht="14.4" x14ac:dyDescent="0.3">
      <c r="A43">
        <v>38</v>
      </c>
      <c r="B43" s="57" t="s">
        <v>102</v>
      </c>
      <c r="C43" s="57" t="s">
        <v>187</v>
      </c>
      <c r="D43" s="57" t="s">
        <v>195</v>
      </c>
      <c r="E43" s="57" t="s">
        <v>208</v>
      </c>
      <c r="F43" s="57" t="s">
        <v>12</v>
      </c>
      <c r="G43" s="57" t="s">
        <v>38</v>
      </c>
      <c r="H43" s="57" t="s">
        <v>51</v>
      </c>
      <c r="I43" s="57" t="s">
        <v>221</v>
      </c>
      <c r="J43" s="57" t="s">
        <v>221</v>
      </c>
      <c r="K43" s="57" t="s">
        <v>222</v>
      </c>
      <c r="L43" s="57" t="s">
        <v>59</v>
      </c>
      <c r="M43" s="57" t="s">
        <v>53</v>
      </c>
      <c r="N43" s="57" t="s">
        <v>232</v>
      </c>
      <c r="O43"/>
      <c r="P43" s="13" t="s">
        <v>40</v>
      </c>
    </row>
    <row r="44" spans="1:16" s="13" customFormat="1" ht="14.4" x14ac:dyDescent="0.3">
      <c r="A44">
        <v>39</v>
      </c>
      <c r="B44" s="57" t="s">
        <v>103</v>
      </c>
      <c r="C44" s="57" t="s">
        <v>187</v>
      </c>
      <c r="D44" s="57" t="s">
        <v>195</v>
      </c>
      <c r="E44" s="57" t="s">
        <v>208</v>
      </c>
      <c r="F44" s="57" t="s">
        <v>11</v>
      </c>
      <c r="G44" s="57" t="s">
        <v>37</v>
      </c>
      <c r="H44" s="57" t="s">
        <v>51</v>
      </c>
      <c r="I44" s="57" t="s">
        <v>222</v>
      </c>
      <c r="J44" s="57" t="s">
        <v>229</v>
      </c>
      <c r="K44" s="57" t="s">
        <v>227</v>
      </c>
      <c r="L44" s="57" t="s">
        <v>55</v>
      </c>
      <c r="M44" s="57" t="s">
        <v>53</v>
      </c>
      <c r="N44" s="57" t="s">
        <v>238</v>
      </c>
      <c r="O44"/>
      <c r="P44" s="13" t="s">
        <v>45</v>
      </c>
    </row>
    <row r="45" spans="1:16" s="13" customFormat="1" ht="14.4" x14ac:dyDescent="0.3">
      <c r="A45">
        <v>40</v>
      </c>
      <c r="B45" s="57" t="s">
        <v>104</v>
      </c>
      <c r="C45" s="57" t="s">
        <v>188</v>
      </c>
      <c r="D45" s="57" t="s">
        <v>199</v>
      </c>
      <c r="E45" s="57" t="s">
        <v>209</v>
      </c>
      <c r="F45" s="57" t="s">
        <v>11</v>
      </c>
      <c r="G45" s="57" t="s">
        <v>37</v>
      </c>
      <c r="H45" s="57" t="s">
        <v>46</v>
      </c>
      <c r="I45" s="57" t="s">
        <v>229</v>
      </c>
      <c r="J45" s="57" t="s">
        <v>226</v>
      </c>
      <c r="K45" s="57" t="s">
        <v>223</v>
      </c>
      <c r="L45" s="57" t="s">
        <v>52</v>
      </c>
      <c r="M45" s="57" t="s">
        <v>55</v>
      </c>
      <c r="N45" s="57" t="s">
        <v>240</v>
      </c>
      <c r="O45"/>
      <c r="P45" s="13" t="s">
        <v>45</v>
      </c>
    </row>
    <row r="46" spans="1:16" s="13" customFormat="1" ht="14.4" x14ac:dyDescent="0.3">
      <c r="A46">
        <v>41</v>
      </c>
      <c r="B46" s="57" t="s">
        <v>105</v>
      </c>
      <c r="C46" s="57" t="s">
        <v>188</v>
      </c>
      <c r="D46" s="57" t="s">
        <v>199</v>
      </c>
      <c r="E46" s="57" t="s">
        <v>209</v>
      </c>
      <c r="F46" s="57" t="s">
        <v>11</v>
      </c>
      <c r="G46" s="57" t="s">
        <v>37</v>
      </c>
      <c r="H46" s="57" t="s">
        <v>46</v>
      </c>
      <c r="I46" s="57" t="s">
        <v>227</v>
      </c>
      <c r="J46" s="57" t="s">
        <v>222</v>
      </c>
      <c r="K46" s="57" t="s">
        <v>222</v>
      </c>
      <c r="L46" s="57" t="s">
        <v>52</v>
      </c>
      <c r="M46" s="57" t="s">
        <v>55</v>
      </c>
      <c r="N46" s="57" t="s">
        <v>231</v>
      </c>
      <c r="O46"/>
      <c r="P46" s="13" t="s">
        <v>45</v>
      </c>
    </row>
    <row r="47" spans="1:16" s="13" customFormat="1" ht="14.4" x14ac:dyDescent="0.3">
      <c r="A47">
        <v>42</v>
      </c>
      <c r="B47" s="57" t="s">
        <v>106</v>
      </c>
      <c r="C47" s="57" t="s">
        <v>188</v>
      </c>
      <c r="D47" s="57" t="s">
        <v>199</v>
      </c>
      <c r="E47" s="57" t="s">
        <v>209</v>
      </c>
      <c r="F47" s="57" t="s">
        <v>11</v>
      </c>
      <c r="G47" s="57" t="s">
        <v>37</v>
      </c>
      <c r="H47" s="57" t="s">
        <v>46</v>
      </c>
      <c r="I47" s="57" t="s">
        <v>226</v>
      </c>
      <c r="J47" s="57" t="s">
        <v>221</v>
      </c>
      <c r="K47" s="57" t="s">
        <v>222</v>
      </c>
      <c r="L47" s="57" t="s">
        <v>52</v>
      </c>
      <c r="M47" s="57" t="s">
        <v>55</v>
      </c>
      <c r="N47" s="57" t="s">
        <v>242</v>
      </c>
      <c r="O47"/>
      <c r="P47" s="13" t="s">
        <v>45</v>
      </c>
    </row>
    <row r="48" spans="1:16" s="13" customFormat="1" ht="14.4" x14ac:dyDescent="0.3">
      <c r="A48">
        <v>43</v>
      </c>
      <c r="B48" s="57" t="s">
        <v>107</v>
      </c>
      <c r="C48" s="57" t="s">
        <v>188</v>
      </c>
      <c r="D48" s="57" t="s">
        <v>199</v>
      </c>
      <c r="E48" s="57" t="s">
        <v>209</v>
      </c>
      <c r="F48" s="57" t="s">
        <v>11</v>
      </c>
      <c r="G48" s="57" t="s">
        <v>37</v>
      </c>
      <c r="H48" s="57" t="s">
        <v>46</v>
      </c>
      <c r="I48" s="57" t="s">
        <v>229</v>
      </c>
      <c r="J48" s="57" t="s">
        <v>226</v>
      </c>
      <c r="K48" s="57" t="s">
        <v>225</v>
      </c>
      <c r="L48" s="57" t="s">
        <v>52</v>
      </c>
      <c r="M48" s="57" t="s">
        <v>55</v>
      </c>
      <c r="N48" s="57" t="s">
        <v>235</v>
      </c>
      <c r="O48"/>
      <c r="P48" s="13" t="s">
        <v>45</v>
      </c>
    </row>
    <row r="49" spans="1:16" s="13" customFormat="1" ht="14.4" x14ac:dyDescent="0.3">
      <c r="A49">
        <v>44</v>
      </c>
      <c r="B49" s="57" t="s">
        <v>108</v>
      </c>
      <c r="C49" s="57" t="s">
        <v>188</v>
      </c>
      <c r="D49" s="57" t="s">
        <v>199</v>
      </c>
      <c r="E49" s="57" t="s">
        <v>209</v>
      </c>
      <c r="F49" s="57" t="s">
        <v>11</v>
      </c>
      <c r="G49" s="57" t="s">
        <v>37</v>
      </c>
      <c r="H49" s="57" t="s">
        <v>46</v>
      </c>
      <c r="I49" s="57" t="s">
        <v>227</v>
      </c>
      <c r="J49" s="57" t="s">
        <v>225</v>
      </c>
      <c r="K49" s="57" t="s">
        <v>227</v>
      </c>
      <c r="L49" s="57" t="s">
        <v>52</v>
      </c>
      <c r="M49" s="57" t="s">
        <v>55</v>
      </c>
      <c r="N49" s="57" t="s">
        <v>245</v>
      </c>
      <c r="O49"/>
      <c r="P49" s="13" t="s">
        <v>45</v>
      </c>
    </row>
    <row r="50" spans="1:16" s="13" customFormat="1" ht="14.4" x14ac:dyDescent="0.3">
      <c r="A50">
        <v>45</v>
      </c>
      <c r="B50" s="57" t="s">
        <v>109</v>
      </c>
      <c r="C50" s="57" t="s">
        <v>193</v>
      </c>
      <c r="D50" s="57" t="s">
        <v>199</v>
      </c>
      <c r="E50" s="57" t="s">
        <v>214</v>
      </c>
      <c r="F50" s="57" t="s">
        <v>11</v>
      </c>
      <c r="G50" s="57" t="s">
        <v>37</v>
      </c>
      <c r="H50" s="57" t="s">
        <v>46</v>
      </c>
      <c r="I50" s="57" t="s">
        <v>229</v>
      </c>
      <c r="J50" s="57" t="s">
        <v>225</v>
      </c>
      <c r="K50" s="57" t="s">
        <v>223</v>
      </c>
      <c r="L50" s="57" t="s">
        <v>52</v>
      </c>
      <c r="M50" s="57" t="s">
        <v>55</v>
      </c>
      <c r="N50" s="57" t="s">
        <v>230</v>
      </c>
      <c r="O50"/>
      <c r="P50" s="13" t="s">
        <v>45</v>
      </c>
    </row>
    <row r="51" spans="1:16" s="13" customFormat="1" ht="14.4" x14ac:dyDescent="0.3">
      <c r="A51">
        <v>46</v>
      </c>
      <c r="B51" s="57" t="s">
        <v>110</v>
      </c>
      <c r="C51" s="57" t="s">
        <v>188</v>
      </c>
      <c r="D51" s="57" t="s">
        <v>196</v>
      </c>
      <c r="E51" s="57" t="s">
        <v>209</v>
      </c>
      <c r="F51" s="57" t="s">
        <v>12</v>
      </c>
      <c r="G51" s="57" t="s">
        <v>38</v>
      </c>
      <c r="H51" s="57" t="s">
        <v>46</v>
      </c>
      <c r="I51" s="57" t="s">
        <v>223</v>
      </c>
      <c r="J51" s="57" t="s">
        <v>227</v>
      </c>
      <c r="K51" s="57" t="s">
        <v>225</v>
      </c>
      <c r="L51" s="57" t="s">
        <v>52</v>
      </c>
      <c r="M51" s="57" t="s">
        <v>55</v>
      </c>
      <c r="N51" s="57" t="s">
        <v>241</v>
      </c>
      <c r="O51"/>
      <c r="P51" s="13" t="s">
        <v>45</v>
      </c>
    </row>
    <row r="52" spans="1:16" s="13" customFormat="1" ht="14.4" x14ac:dyDescent="0.3">
      <c r="A52">
        <v>47</v>
      </c>
      <c r="B52" s="57" t="s">
        <v>111</v>
      </c>
      <c r="C52" s="57" t="s">
        <v>188</v>
      </c>
      <c r="D52" s="57" t="s">
        <v>196</v>
      </c>
      <c r="E52" s="57" t="s">
        <v>209</v>
      </c>
      <c r="F52" s="57" t="s">
        <v>12</v>
      </c>
      <c r="G52" s="57" t="s">
        <v>38</v>
      </c>
      <c r="H52" s="57" t="s">
        <v>51</v>
      </c>
      <c r="I52" s="57" t="s">
        <v>223</v>
      </c>
      <c r="J52" s="57" t="s">
        <v>229</v>
      </c>
      <c r="K52" s="57" t="s">
        <v>224</v>
      </c>
      <c r="L52" s="57" t="s">
        <v>54</v>
      </c>
      <c r="M52" s="57" t="s">
        <v>53</v>
      </c>
      <c r="N52" s="57" t="s">
        <v>245</v>
      </c>
      <c r="O52"/>
      <c r="P52" s="13" t="s">
        <v>45</v>
      </c>
    </row>
    <row r="53" spans="1:16" s="13" customFormat="1" ht="14.4" x14ac:dyDescent="0.3">
      <c r="A53">
        <v>48</v>
      </c>
      <c r="B53" s="57" t="s">
        <v>112</v>
      </c>
      <c r="C53" s="57" t="s">
        <v>188</v>
      </c>
      <c r="D53" s="57" t="s">
        <v>196</v>
      </c>
      <c r="E53" s="57" t="s">
        <v>209</v>
      </c>
      <c r="F53" s="57" t="s">
        <v>12</v>
      </c>
      <c r="G53" s="57" t="s">
        <v>38</v>
      </c>
      <c r="H53" s="57" t="s">
        <v>51</v>
      </c>
      <c r="I53" s="57" t="s">
        <v>223</v>
      </c>
      <c r="J53" s="57" t="s">
        <v>226</v>
      </c>
      <c r="K53" s="57" t="s">
        <v>229</v>
      </c>
      <c r="L53" s="57" t="s">
        <v>54</v>
      </c>
      <c r="M53" s="57" t="s">
        <v>53</v>
      </c>
      <c r="N53" s="57" t="s">
        <v>244</v>
      </c>
      <c r="O53"/>
      <c r="P53" s="13" t="s">
        <v>45</v>
      </c>
    </row>
    <row r="54" spans="1:16" s="13" customFormat="1" ht="14.4" x14ac:dyDescent="0.3">
      <c r="A54">
        <v>49</v>
      </c>
      <c r="B54" s="57" t="s">
        <v>113</v>
      </c>
      <c r="C54" s="57" t="s">
        <v>188</v>
      </c>
      <c r="D54" s="57" t="s">
        <v>196</v>
      </c>
      <c r="E54" s="57" t="s">
        <v>209</v>
      </c>
      <c r="F54" s="57" t="s">
        <v>14</v>
      </c>
      <c r="G54" s="57" t="s">
        <v>17</v>
      </c>
      <c r="H54" s="57" t="s">
        <v>51</v>
      </c>
      <c r="I54" s="57" t="s">
        <v>226</v>
      </c>
      <c r="J54" s="57" t="s">
        <v>226</v>
      </c>
      <c r="K54" s="57" t="s">
        <v>228</v>
      </c>
      <c r="L54" s="57" t="s">
        <v>54</v>
      </c>
      <c r="M54" s="57" t="s">
        <v>53</v>
      </c>
      <c r="N54" s="57" t="s">
        <v>247</v>
      </c>
      <c r="O54"/>
      <c r="P54" s="13" t="s">
        <v>45</v>
      </c>
    </row>
    <row r="55" spans="1:16" s="13" customFormat="1" ht="14.4" x14ac:dyDescent="0.3">
      <c r="A55">
        <v>50</v>
      </c>
      <c r="B55" s="57" t="s">
        <v>114</v>
      </c>
      <c r="C55" s="57" t="s">
        <v>189</v>
      </c>
      <c r="D55" s="57" t="s">
        <v>201</v>
      </c>
      <c r="E55" s="57" t="s">
        <v>210</v>
      </c>
      <c r="F55" s="57" t="s">
        <v>14</v>
      </c>
      <c r="G55" s="57" t="s">
        <v>17</v>
      </c>
      <c r="H55" s="57" t="s">
        <v>51</v>
      </c>
      <c r="I55" s="57" t="s">
        <v>226</v>
      </c>
      <c r="J55" s="57" t="s">
        <v>222</v>
      </c>
      <c r="K55" s="57" t="s">
        <v>222</v>
      </c>
      <c r="L55" s="57" t="s">
        <v>54</v>
      </c>
      <c r="M55" s="57" t="s">
        <v>47</v>
      </c>
      <c r="N55" s="57" t="s">
        <v>232</v>
      </c>
      <c r="O55"/>
      <c r="P55" s="13" t="s">
        <v>45</v>
      </c>
    </row>
    <row r="56" spans="1:16" s="13" customFormat="1" ht="14.4" x14ac:dyDescent="0.3">
      <c r="A56">
        <v>51</v>
      </c>
      <c r="B56" s="57" t="s">
        <v>115</v>
      </c>
      <c r="C56" s="57" t="s">
        <v>189</v>
      </c>
      <c r="D56" s="57" t="s">
        <v>201</v>
      </c>
      <c r="E56" s="57" t="s">
        <v>210</v>
      </c>
      <c r="F56" s="57" t="s">
        <v>14</v>
      </c>
      <c r="G56" s="57" t="s">
        <v>15</v>
      </c>
      <c r="H56" s="57" t="s">
        <v>51</v>
      </c>
      <c r="I56" s="57" t="s">
        <v>228</v>
      </c>
      <c r="J56" s="57" t="s">
        <v>221</v>
      </c>
      <c r="K56" s="57" t="s">
        <v>223</v>
      </c>
      <c r="L56" s="57" t="s">
        <v>52</v>
      </c>
      <c r="M56" s="57" t="s">
        <v>53</v>
      </c>
      <c r="N56" s="57" t="s">
        <v>247</v>
      </c>
      <c r="O56"/>
      <c r="P56" s="13" t="s">
        <v>45</v>
      </c>
    </row>
    <row r="57" spans="1:16" s="13" customFormat="1" ht="14.4" x14ac:dyDescent="0.3">
      <c r="A57">
        <v>52</v>
      </c>
      <c r="B57" s="57" t="s">
        <v>116</v>
      </c>
      <c r="C57" s="57" t="s">
        <v>189</v>
      </c>
      <c r="D57" s="57" t="s">
        <v>201</v>
      </c>
      <c r="E57" s="57" t="s">
        <v>210</v>
      </c>
      <c r="F57" s="57" t="s">
        <v>14</v>
      </c>
      <c r="G57" s="57" t="s">
        <v>18</v>
      </c>
      <c r="H57" s="57" t="s">
        <v>51</v>
      </c>
      <c r="I57" s="57" t="s">
        <v>221</v>
      </c>
      <c r="J57" s="57" t="s">
        <v>225</v>
      </c>
      <c r="K57" s="57" t="s">
        <v>221</v>
      </c>
      <c r="L57" s="57" t="s">
        <v>56</v>
      </c>
      <c r="M57" s="57" t="s">
        <v>53</v>
      </c>
      <c r="N57" s="57" t="s">
        <v>234</v>
      </c>
      <c r="O57"/>
      <c r="P57" s="13" t="s">
        <v>45</v>
      </c>
    </row>
    <row r="58" spans="1:16" s="13" customFormat="1" ht="14.4" x14ac:dyDescent="0.3">
      <c r="A58">
        <v>53</v>
      </c>
      <c r="B58" s="57" t="s">
        <v>117</v>
      </c>
      <c r="C58" s="57" t="s">
        <v>189</v>
      </c>
      <c r="D58" s="57" t="s">
        <v>203</v>
      </c>
      <c r="E58" s="57" t="s">
        <v>210</v>
      </c>
      <c r="F58" s="57" t="s">
        <v>14</v>
      </c>
      <c r="G58" s="57" t="s">
        <v>17</v>
      </c>
      <c r="H58" s="57" t="s">
        <v>57</v>
      </c>
      <c r="I58" s="57" t="s">
        <v>228</v>
      </c>
      <c r="J58" s="57" t="s">
        <v>222</v>
      </c>
      <c r="K58" s="57" t="s">
        <v>222</v>
      </c>
      <c r="L58" s="57" t="s">
        <v>58</v>
      </c>
      <c r="M58" s="57" t="s">
        <v>47</v>
      </c>
      <c r="N58" s="57" t="s">
        <v>236</v>
      </c>
      <c r="O58"/>
      <c r="P58" s="13" t="s">
        <v>45</v>
      </c>
    </row>
    <row r="59" spans="1:16" s="13" customFormat="1" ht="14.4" x14ac:dyDescent="0.3">
      <c r="A59">
        <v>54</v>
      </c>
      <c r="B59" s="57" t="s">
        <v>118</v>
      </c>
      <c r="C59" s="57" t="s">
        <v>189</v>
      </c>
      <c r="D59" s="57" t="s">
        <v>203</v>
      </c>
      <c r="E59" s="57" t="s">
        <v>210</v>
      </c>
      <c r="F59" s="57" t="s">
        <v>14</v>
      </c>
      <c r="G59" s="57" t="s">
        <v>17</v>
      </c>
      <c r="H59" s="57" t="s">
        <v>51</v>
      </c>
      <c r="I59" s="57" t="s">
        <v>227</v>
      </c>
      <c r="J59" s="57" t="s">
        <v>223</v>
      </c>
      <c r="K59" s="57" t="s">
        <v>223</v>
      </c>
      <c r="L59" s="57" t="s">
        <v>58</v>
      </c>
      <c r="M59" s="57" t="s">
        <v>47</v>
      </c>
      <c r="N59" s="57" t="s">
        <v>232</v>
      </c>
      <c r="O59"/>
      <c r="P59" s="13" t="s">
        <v>45</v>
      </c>
    </row>
    <row r="60" spans="1:16" s="13" customFormat="1" ht="14.4" x14ac:dyDescent="0.3">
      <c r="A60">
        <v>55</v>
      </c>
      <c r="B60" s="57" t="s">
        <v>119</v>
      </c>
      <c r="C60" s="57" t="s">
        <v>189</v>
      </c>
      <c r="D60" s="57" t="s">
        <v>201</v>
      </c>
      <c r="E60" s="57" t="s">
        <v>210</v>
      </c>
      <c r="F60" s="57" t="s">
        <v>14</v>
      </c>
      <c r="G60" s="57" t="s">
        <v>17</v>
      </c>
      <c r="H60" s="57" t="s">
        <v>51</v>
      </c>
      <c r="I60" s="57" t="s">
        <v>222</v>
      </c>
      <c r="J60" s="57" t="s">
        <v>225</v>
      </c>
      <c r="K60" s="57" t="s">
        <v>222</v>
      </c>
      <c r="L60" s="57" t="s">
        <v>52</v>
      </c>
      <c r="M60" s="57" t="s">
        <v>47</v>
      </c>
      <c r="N60" s="57" t="s">
        <v>239</v>
      </c>
      <c r="O60"/>
      <c r="P60" s="13" t="s">
        <v>45</v>
      </c>
    </row>
    <row r="61" spans="1:16" s="13" customFormat="1" ht="14.4" x14ac:dyDescent="0.3">
      <c r="A61">
        <v>56</v>
      </c>
      <c r="B61" s="57" t="s">
        <v>120</v>
      </c>
      <c r="C61" s="57" t="s">
        <v>189</v>
      </c>
      <c r="D61" s="57" t="s">
        <v>203</v>
      </c>
      <c r="E61" s="57" t="s">
        <v>210</v>
      </c>
      <c r="F61" s="57" t="s">
        <v>12</v>
      </c>
      <c r="G61" s="57" t="s">
        <v>13</v>
      </c>
      <c r="H61" s="57" t="s">
        <v>51</v>
      </c>
      <c r="I61" s="57" t="s">
        <v>228</v>
      </c>
      <c r="J61" s="57" t="s">
        <v>225</v>
      </c>
      <c r="K61" s="57" t="s">
        <v>224</v>
      </c>
      <c r="L61" s="57" t="s">
        <v>54</v>
      </c>
      <c r="M61" s="57" t="s">
        <v>49</v>
      </c>
      <c r="N61" s="57" t="s">
        <v>245</v>
      </c>
      <c r="O61"/>
      <c r="P61" s="13" t="s">
        <v>45</v>
      </c>
    </row>
    <row r="62" spans="1:16" s="13" customFormat="1" ht="14.4" x14ac:dyDescent="0.3">
      <c r="A62">
        <v>57</v>
      </c>
      <c r="B62" s="57" t="s">
        <v>121</v>
      </c>
      <c r="C62" s="57" t="s">
        <v>189</v>
      </c>
      <c r="D62" s="57" t="s">
        <v>203</v>
      </c>
      <c r="E62" s="57" t="s">
        <v>210</v>
      </c>
      <c r="F62" s="57" t="s">
        <v>14</v>
      </c>
      <c r="G62" s="57" t="s">
        <v>18</v>
      </c>
      <c r="H62" s="57" t="s">
        <v>51</v>
      </c>
      <c r="I62" s="57" t="s">
        <v>227</v>
      </c>
      <c r="J62" s="57" t="s">
        <v>227</v>
      </c>
      <c r="K62" s="57" t="s">
        <v>221</v>
      </c>
      <c r="L62" s="57" t="s">
        <v>56</v>
      </c>
      <c r="M62" s="57" t="s">
        <v>47</v>
      </c>
      <c r="N62" s="57" t="s">
        <v>230</v>
      </c>
      <c r="O62"/>
      <c r="P62" s="13" t="s">
        <v>45</v>
      </c>
    </row>
    <row r="63" spans="1:16" s="13" customFormat="1" ht="14.4" x14ac:dyDescent="0.3">
      <c r="A63">
        <v>58</v>
      </c>
      <c r="B63" s="57" t="s">
        <v>122</v>
      </c>
      <c r="C63" s="57" t="s">
        <v>189</v>
      </c>
      <c r="D63" s="57" t="s">
        <v>203</v>
      </c>
      <c r="E63" s="57" t="s">
        <v>210</v>
      </c>
      <c r="F63" s="57" t="s">
        <v>14</v>
      </c>
      <c r="G63" s="57" t="s">
        <v>18</v>
      </c>
      <c r="H63" s="57" t="s">
        <v>51</v>
      </c>
      <c r="I63" s="57" t="s">
        <v>223</v>
      </c>
      <c r="J63" s="57" t="s">
        <v>223</v>
      </c>
      <c r="K63" s="57" t="s">
        <v>226</v>
      </c>
      <c r="L63" s="57" t="s">
        <v>55</v>
      </c>
      <c r="M63" s="57" t="s">
        <v>53</v>
      </c>
      <c r="N63" s="57" t="s">
        <v>238</v>
      </c>
      <c r="O63"/>
      <c r="P63" s="13" t="s">
        <v>45</v>
      </c>
    </row>
    <row r="64" spans="1:16" s="13" customFormat="1" ht="14.4" x14ac:dyDescent="0.3">
      <c r="A64">
        <v>59</v>
      </c>
      <c r="B64" s="57" t="s">
        <v>123</v>
      </c>
      <c r="C64" s="57" t="s">
        <v>190</v>
      </c>
      <c r="D64" s="57" t="s">
        <v>204</v>
      </c>
      <c r="E64" s="57" t="s">
        <v>217</v>
      </c>
      <c r="F64" s="57" t="s">
        <v>12</v>
      </c>
      <c r="G64" s="57" t="s">
        <v>13</v>
      </c>
      <c r="H64" s="57" t="s">
        <v>51</v>
      </c>
      <c r="I64" s="57" t="s">
        <v>221</v>
      </c>
      <c r="J64" s="57" t="s">
        <v>229</v>
      </c>
      <c r="K64" s="57" t="s">
        <v>222</v>
      </c>
      <c r="L64" s="57" t="s">
        <v>59</v>
      </c>
      <c r="M64" s="57" t="s">
        <v>49</v>
      </c>
      <c r="N64" s="57" t="s">
        <v>237</v>
      </c>
      <c r="O64"/>
      <c r="P64" s="13" t="s">
        <v>45</v>
      </c>
    </row>
    <row r="65" spans="1:16" s="13" customFormat="1" ht="14.4" x14ac:dyDescent="0.3">
      <c r="A65">
        <v>60</v>
      </c>
      <c r="B65" s="57" t="s">
        <v>124</v>
      </c>
      <c r="C65" s="57" t="s">
        <v>190</v>
      </c>
      <c r="D65" s="57" t="s">
        <v>204</v>
      </c>
      <c r="E65" s="57" t="s">
        <v>217</v>
      </c>
      <c r="F65" s="57" t="s">
        <v>14</v>
      </c>
      <c r="G65" s="57" t="s">
        <v>18</v>
      </c>
      <c r="H65" s="57" t="s">
        <v>51</v>
      </c>
      <c r="I65" s="57" t="s">
        <v>223</v>
      </c>
      <c r="J65" s="57" t="s">
        <v>226</v>
      </c>
      <c r="K65" s="57" t="s">
        <v>224</v>
      </c>
      <c r="L65" s="57" t="s">
        <v>52</v>
      </c>
      <c r="M65" s="57" t="s">
        <v>53</v>
      </c>
      <c r="N65" s="57" t="s">
        <v>233</v>
      </c>
      <c r="O65"/>
      <c r="P65" s="13" t="s">
        <v>45</v>
      </c>
    </row>
    <row r="66" spans="1:16" s="13" customFormat="1" ht="14.4" x14ac:dyDescent="0.3">
      <c r="A66">
        <v>61</v>
      </c>
      <c r="B66" s="57" t="s">
        <v>125</v>
      </c>
      <c r="C66" s="57" t="s">
        <v>190</v>
      </c>
      <c r="D66" s="57" t="s">
        <v>197</v>
      </c>
      <c r="E66" s="57" t="s">
        <v>217</v>
      </c>
      <c r="F66" s="57" t="s">
        <v>14</v>
      </c>
      <c r="G66" s="57" t="s">
        <v>17</v>
      </c>
      <c r="H66" s="57" t="s">
        <v>51</v>
      </c>
      <c r="I66" s="57" t="s">
        <v>222</v>
      </c>
      <c r="J66" s="57" t="s">
        <v>224</v>
      </c>
      <c r="K66" s="57" t="s">
        <v>222</v>
      </c>
      <c r="L66" s="57" t="s">
        <v>54</v>
      </c>
      <c r="M66" s="57" t="s">
        <v>53</v>
      </c>
      <c r="N66" s="57" t="s">
        <v>243</v>
      </c>
      <c r="O66"/>
      <c r="P66" s="13" t="s">
        <v>45</v>
      </c>
    </row>
    <row r="67" spans="1:16" s="13" customFormat="1" ht="14.4" x14ac:dyDescent="0.3">
      <c r="A67">
        <v>62</v>
      </c>
      <c r="B67" s="57" t="s">
        <v>126</v>
      </c>
      <c r="C67" s="57" t="s">
        <v>190</v>
      </c>
      <c r="D67" s="57" t="s">
        <v>204</v>
      </c>
      <c r="E67" s="57" t="s">
        <v>217</v>
      </c>
      <c r="F67" s="57" t="s">
        <v>14</v>
      </c>
      <c r="G67" s="57" t="s">
        <v>18</v>
      </c>
      <c r="H67" s="57" t="s">
        <v>51</v>
      </c>
      <c r="I67" s="57" t="s">
        <v>226</v>
      </c>
      <c r="J67" s="57" t="s">
        <v>227</v>
      </c>
      <c r="K67" s="57" t="s">
        <v>227</v>
      </c>
      <c r="L67" s="57" t="s">
        <v>52</v>
      </c>
      <c r="M67" s="57" t="s">
        <v>53</v>
      </c>
      <c r="N67" s="57" t="s">
        <v>241</v>
      </c>
      <c r="O67"/>
      <c r="P67" s="13" t="s">
        <v>45</v>
      </c>
    </row>
    <row r="68" spans="1:16" s="13" customFormat="1" ht="14.4" x14ac:dyDescent="0.3">
      <c r="A68">
        <v>63</v>
      </c>
      <c r="B68" s="57" t="s">
        <v>127</v>
      </c>
      <c r="C68" s="57" t="s">
        <v>190</v>
      </c>
      <c r="D68" s="57" t="s">
        <v>204</v>
      </c>
      <c r="E68" s="57" t="s">
        <v>217</v>
      </c>
      <c r="F68" s="57" t="s">
        <v>14</v>
      </c>
      <c r="G68" s="57" t="s">
        <v>17</v>
      </c>
      <c r="H68" s="57" t="s">
        <v>46</v>
      </c>
      <c r="I68" s="57" t="s">
        <v>225</v>
      </c>
      <c r="J68" s="57" t="s">
        <v>226</v>
      </c>
      <c r="K68" s="57" t="s">
        <v>224</v>
      </c>
      <c r="L68" s="57" t="s">
        <v>52</v>
      </c>
      <c r="M68" s="57" t="s">
        <v>53</v>
      </c>
      <c r="N68" s="57" t="s">
        <v>230</v>
      </c>
      <c r="O68"/>
      <c r="P68" s="13" t="s">
        <v>45</v>
      </c>
    </row>
    <row r="69" spans="1:16" s="13" customFormat="1" ht="14.4" x14ac:dyDescent="0.3">
      <c r="A69">
        <v>64</v>
      </c>
      <c r="B69" s="78" t="s">
        <v>128</v>
      </c>
      <c r="C69" s="57" t="s">
        <v>190</v>
      </c>
      <c r="D69" s="57" t="s">
        <v>204</v>
      </c>
      <c r="E69" s="57" t="s">
        <v>217</v>
      </c>
      <c r="F69" s="57" t="s">
        <v>14</v>
      </c>
      <c r="G69" s="57" t="s">
        <v>17</v>
      </c>
      <c r="H69" s="57" t="s">
        <v>51</v>
      </c>
      <c r="I69" s="57" t="s">
        <v>229</v>
      </c>
      <c r="J69" s="57" t="s">
        <v>229</v>
      </c>
      <c r="K69" s="57" t="s">
        <v>222</v>
      </c>
      <c r="L69" s="57" t="s">
        <v>54</v>
      </c>
      <c r="M69" s="80" t="s">
        <v>53</v>
      </c>
      <c r="N69" s="80" t="s">
        <v>248</v>
      </c>
      <c r="O69"/>
      <c r="P69" s="13" t="s">
        <v>45</v>
      </c>
    </row>
    <row r="70" spans="1:16" s="13" customFormat="1" ht="14.4" x14ac:dyDescent="0.3">
      <c r="A70">
        <v>65</v>
      </c>
      <c r="B70" s="57" t="s">
        <v>129</v>
      </c>
      <c r="C70" s="57" t="s">
        <v>190</v>
      </c>
      <c r="D70" s="57" t="s">
        <v>204</v>
      </c>
      <c r="E70" s="57" t="s">
        <v>217</v>
      </c>
      <c r="F70" s="57" t="s">
        <v>14</v>
      </c>
      <c r="G70" s="57" t="s">
        <v>17</v>
      </c>
      <c r="H70" s="57" t="s">
        <v>46</v>
      </c>
      <c r="I70" s="57" t="s">
        <v>225</v>
      </c>
      <c r="J70" s="57" t="s">
        <v>221</v>
      </c>
      <c r="K70" s="57" t="s">
        <v>221</v>
      </c>
      <c r="L70" s="57" t="s">
        <v>52</v>
      </c>
      <c r="M70" s="57" t="s">
        <v>53</v>
      </c>
      <c r="N70" s="57" t="s">
        <v>245</v>
      </c>
      <c r="O70"/>
      <c r="P70" s="13" t="s">
        <v>45</v>
      </c>
    </row>
    <row r="71" spans="1:16" s="13" customFormat="1" ht="14.4" x14ac:dyDescent="0.3">
      <c r="A71">
        <v>66</v>
      </c>
      <c r="B71" s="57" t="s">
        <v>130</v>
      </c>
      <c r="C71" s="57" t="s">
        <v>190</v>
      </c>
      <c r="D71" s="57" t="s">
        <v>204</v>
      </c>
      <c r="E71" s="57" t="s">
        <v>217</v>
      </c>
      <c r="F71" s="57" t="s">
        <v>14</v>
      </c>
      <c r="G71" s="57" t="s">
        <v>18</v>
      </c>
      <c r="H71" s="57" t="s">
        <v>51</v>
      </c>
      <c r="I71" s="57" t="s">
        <v>228</v>
      </c>
      <c r="J71" s="57" t="s">
        <v>223</v>
      </c>
      <c r="K71" s="57" t="s">
        <v>221</v>
      </c>
      <c r="L71" s="57" t="s">
        <v>52</v>
      </c>
      <c r="M71" s="57" t="s">
        <v>53</v>
      </c>
      <c r="N71" s="57" t="s">
        <v>248</v>
      </c>
      <c r="O71"/>
      <c r="P71" s="13" t="s">
        <v>45</v>
      </c>
    </row>
    <row r="72" spans="1:16" s="13" customFormat="1" ht="14.4" x14ac:dyDescent="0.3">
      <c r="A72">
        <v>67</v>
      </c>
      <c r="B72" s="57" t="s">
        <v>131</v>
      </c>
      <c r="C72" s="57" t="s">
        <v>190</v>
      </c>
      <c r="D72" s="57" t="s">
        <v>197</v>
      </c>
      <c r="E72" s="57" t="s">
        <v>217</v>
      </c>
      <c r="F72" s="57" t="s">
        <v>11</v>
      </c>
      <c r="G72" s="57" t="s">
        <v>37</v>
      </c>
      <c r="H72" s="57" t="s">
        <v>46</v>
      </c>
      <c r="I72" s="57" t="s">
        <v>224</v>
      </c>
      <c r="J72" s="57" t="s">
        <v>227</v>
      </c>
      <c r="K72" s="57" t="s">
        <v>228</v>
      </c>
      <c r="L72" s="57" t="s">
        <v>55</v>
      </c>
      <c r="M72" s="80" t="s">
        <v>53</v>
      </c>
      <c r="N72" s="80" t="s">
        <v>230</v>
      </c>
      <c r="O72"/>
      <c r="P72" s="13" t="s">
        <v>45</v>
      </c>
    </row>
    <row r="73" spans="1:16" s="13" customFormat="1" ht="14.4" x14ac:dyDescent="0.3">
      <c r="A73">
        <v>68</v>
      </c>
      <c r="B73" s="57" t="s">
        <v>132</v>
      </c>
      <c r="C73" s="57" t="s">
        <v>190</v>
      </c>
      <c r="D73" s="57" t="s">
        <v>197</v>
      </c>
      <c r="E73" s="57" t="s">
        <v>217</v>
      </c>
      <c r="F73" s="57" t="s">
        <v>11</v>
      </c>
      <c r="G73" s="57" t="s">
        <v>37</v>
      </c>
      <c r="H73" s="57" t="s">
        <v>46</v>
      </c>
      <c r="I73" s="57" t="s">
        <v>221</v>
      </c>
      <c r="J73" s="57" t="s">
        <v>229</v>
      </c>
      <c r="K73" s="57" t="s">
        <v>229</v>
      </c>
      <c r="L73" s="57" t="s">
        <v>55</v>
      </c>
      <c r="M73" s="80" t="s">
        <v>53</v>
      </c>
      <c r="N73" s="80" t="s">
        <v>240</v>
      </c>
      <c r="O73"/>
      <c r="P73" s="13" t="s">
        <v>23</v>
      </c>
    </row>
    <row r="74" spans="1:16" s="13" customFormat="1" ht="14.4" x14ac:dyDescent="0.3">
      <c r="A74">
        <v>69</v>
      </c>
      <c r="B74" s="57" t="s">
        <v>133</v>
      </c>
      <c r="C74" s="57" t="s">
        <v>190</v>
      </c>
      <c r="D74" s="57" t="s">
        <v>197</v>
      </c>
      <c r="E74" s="57" t="s">
        <v>217</v>
      </c>
      <c r="F74" s="57" t="s">
        <v>12</v>
      </c>
      <c r="G74" s="57" t="s">
        <v>13</v>
      </c>
      <c r="H74" s="57" t="s">
        <v>51</v>
      </c>
      <c r="I74" s="57" t="s">
        <v>225</v>
      </c>
      <c r="J74" s="57" t="s">
        <v>223</v>
      </c>
      <c r="K74" s="57" t="s">
        <v>227</v>
      </c>
      <c r="L74" s="57" t="s">
        <v>59</v>
      </c>
      <c r="M74" s="80" t="s">
        <v>49</v>
      </c>
      <c r="N74" s="80" t="s">
        <v>247</v>
      </c>
      <c r="O74"/>
      <c r="P74" s="13" t="s">
        <v>45</v>
      </c>
    </row>
    <row r="75" spans="1:16" s="13" customFormat="1" ht="14.4" x14ac:dyDescent="0.3">
      <c r="A75">
        <v>70</v>
      </c>
      <c r="B75" s="57" t="s">
        <v>134</v>
      </c>
      <c r="C75" s="57" t="s">
        <v>191</v>
      </c>
      <c r="D75" s="57" t="s">
        <v>194</v>
      </c>
      <c r="E75" s="57" t="s">
        <v>211</v>
      </c>
      <c r="F75" s="57" t="s">
        <v>11</v>
      </c>
      <c r="G75" s="57" t="s">
        <v>16</v>
      </c>
      <c r="H75" s="57" t="s">
        <v>51</v>
      </c>
      <c r="I75" s="57" t="s">
        <v>225</v>
      </c>
      <c r="J75" s="57" t="s">
        <v>221</v>
      </c>
      <c r="K75" s="57" t="s">
        <v>227</v>
      </c>
      <c r="L75" s="57" t="s">
        <v>54</v>
      </c>
      <c r="M75" s="80" t="s">
        <v>48</v>
      </c>
      <c r="N75" s="80" t="s">
        <v>232</v>
      </c>
      <c r="O75"/>
      <c r="P75" s="13" t="s">
        <v>45</v>
      </c>
    </row>
    <row r="76" spans="1:16" s="13" customFormat="1" ht="14.4" x14ac:dyDescent="0.3">
      <c r="A76">
        <v>71</v>
      </c>
      <c r="B76" s="79" t="s">
        <v>135</v>
      </c>
      <c r="C76" s="57" t="s">
        <v>191</v>
      </c>
      <c r="D76" s="57" t="s">
        <v>203</v>
      </c>
      <c r="E76" s="57" t="s">
        <v>211</v>
      </c>
      <c r="F76" s="57" t="s">
        <v>14</v>
      </c>
      <c r="G76" s="57" t="s">
        <v>15</v>
      </c>
      <c r="H76" s="57" t="s">
        <v>51</v>
      </c>
      <c r="I76" s="57" t="s">
        <v>229</v>
      </c>
      <c r="J76" s="57" t="s">
        <v>226</v>
      </c>
      <c r="K76" s="57" t="s">
        <v>229</v>
      </c>
      <c r="L76" s="57" t="s">
        <v>52</v>
      </c>
      <c r="M76" s="57" t="s">
        <v>53</v>
      </c>
      <c r="N76" s="57" t="s">
        <v>243</v>
      </c>
      <c r="O76"/>
      <c r="P76" s="13" t="s">
        <v>45</v>
      </c>
    </row>
    <row r="77" spans="1:16" s="13" customFormat="1" ht="14.4" x14ac:dyDescent="0.3">
      <c r="A77">
        <v>72</v>
      </c>
      <c r="B77" s="79" t="s">
        <v>136</v>
      </c>
      <c r="C77" s="57" t="s">
        <v>191</v>
      </c>
      <c r="D77" s="57" t="s">
        <v>203</v>
      </c>
      <c r="E77" s="57" t="s">
        <v>211</v>
      </c>
      <c r="F77" s="57" t="s">
        <v>12</v>
      </c>
      <c r="G77" s="57" t="s">
        <v>13</v>
      </c>
      <c r="H77" s="57" t="s">
        <v>51</v>
      </c>
      <c r="I77" s="57" t="s">
        <v>229</v>
      </c>
      <c r="J77" s="57" t="s">
        <v>228</v>
      </c>
      <c r="K77" s="57" t="s">
        <v>221</v>
      </c>
      <c r="L77" s="57" t="s">
        <v>59</v>
      </c>
      <c r="M77" s="80" t="s">
        <v>49</v>
      </c>
      <c r="N77" s="57" t="s">
        <v>235</v>
      </c>
      <c r="O77"/>
      <c r="P77" s="13" t="s">
        <v>45</v>
      </c>
    </row>
    <row r="78" spans="1:16" s="13" customFormat="1" ht="14.4" x14ac:dyDescent="0.3">
      <c r="A78">
        <v>73</v>
      </c>
      <c r="B78" s="57" t="s">
        <v>137</v>
      </c>
      <c r="C78" s="57" t="s">
        <v>191</v>
      </c>
      <c r="D78" s="57" t="s">
        <v>194</v>
      </c>
      <c r="E78" s="57" t="s">
        <v>211</v>
      </c>
      <c r="F78" s="57" t="s">
        <v>12</v>
      </c>
      <c r="G78" s="57" t="s">
        <v>38</v>
      </c>
      <c r="H78" s="57" t="s">
        <v>51</v>
      </c>
      <c r="I78" s="57" t="s">
        <v>223</v>
      </c>
      <c r="J78" s="57" t="s">
        <v>227</v>
      </c>
      <c r="K78" s="57" t="s">
        <v>227</v>
      </c>
      <c r="L78" s="57" t="s">
        <v>55</v>
      </c>
      <c r="M78" s="57" t="s">
        <v>48</v>
      </c>
      <c r="N78" s="57" t="s">
        <v>234</v>
      </c>
      <c r="O78"/>
      <c r="P78" s="13" t="s">
        <v>45</v>
      </c>
    </row>
    <row r="79" spans="1:16" s="13" customFormat="1" ht="14.4" x14ac:dyDescent="0.3">
      <c r="A79">
        <v>74</v>
      </c>
      <c r="B79" s="57" t="s">
        <v>138</v>
      </c>
      <c r="C79" s="57" t="s">
        <v>191</v>
      </c>
      <c r="D79" s="57" t="s">
        <v>198</v>
      </c>
      <c r="E79" s="57" t="s">
        <v>211</v>
      </c>
      <c r="F79" s="57" t="s">
        <v>11</v>
      </c>
      <c r="G79" s="57" t="s">
        <v>38</v>
      </c>
      <c r="H79" s="57" t="s">
        <v>51</v>
      </c>
      <c r="I79" s="57" t="s">
        <v>221</v>
      </c>
      <c r="J79" s="57" t="s">
        <v>221</v>
      </c>
      <c r="K79" s="57" t="s">
        <v>224</v>
      </c>
      <c r="L79" s="57" t="s">
        <v>55</v>
      </c>
      <c r="M79" s="80" t="s">
        <v>48</v>
      </c>
      <c r="N79" s="57" t="s">
        <v>238</v>
      </c>
      <c r="O79"/>
      <c r="P79" s="13" t="s">
        <v>45</v>
      </c>
    </row>
    <row r="80" spans="1:16" s="13" customFormat="1" ht="14.4" x14ac:dyDescent="0.3">
      <c r="A80">
        <v>75</v>
      </c>
      <c r="B80" s="57" t="s">
        <v>139</v>
      </c>
      <c r="C80" s="57" t="s">
        <v>191</v>
      </c>
      <c r="D80" s="57" t="s">
        <v>203</v>
      </c>
      <c r="E80" s="57" t="s">
        <v>211</v>
      </c>
      <c r="F80" s="57" t="s">
        <v>14</v>
      </c>
      <c r="G80" s="57" t="s">
        <v>15</v>
      </c>
      <c r="H80" s="57" t="s">
        <v>51</v>
      </c>
      <c r="I80" s="57" t="s">
        <v>226</v>
      </c>
      <c r="J80" s="57" t="s">
        <v>221</v>
      </c>
      <c r="K80" s="57" t="s">
        <v>227</v>
      </c>
      <c r="L80" s="57" t="s">
        <v>55</v>
      </c>
      <c r="M80" s="57" t="s">
        <v>53</v>
      </c>
      <c r="N80" s="57" t="s">
        <v>242</v>
      </c>
      <c r="O80"/>
      <c r="P80" s="13" t="s">
        <v>45</v>
      </c>
    </row>
    <row r="81" spans="1:16" s="13" customFormat="1" ht="14.4" x14ac:dyDescent="0.3">
      <c r="A81">
        <v>76</v>
      </c>
      <c r="B81" s="78" t="s">
        <v>140</v>
      </c>
      <c r="C81" s="57" t="s">
        <v>191</v>
      </c>
      <c r="D81" s="57" t="s">
        <v>203</v>
      </c>
      <c r="E81" s="57" t="s">
        <v>211</v>
      </c>
      <c r="F81" s="57" t="s">
        <v>14</v>
      </c>
      <c r="G81" s="57" t="s">
        <v>15</v>
      </c>
      <c r="H81" s="57" t="s">
        <v>51</v>
      </c>
      <c r="I81" s="57" t="s">
        <v>223</v>
      </c>
      <c r="J81" s="57" t="s">
        <v>226</v>
      </c>
      <c r="K81" s="57" t="s">
        <v>229</v>
      </c>
      <c r="L81" s="57" t="s">
        <v>55</v>
      </c>
      <c r="M81" s="57" t="s">
        <v>53</v>
      </c>
      <c r="N81" s="57" t="s">
        <v>237</v>
      </c>
      <c r="O81"/>
      <c r="P81" s="13" t="s">
        <v>45</v>
      </c>
    </row>
    <row r="82" spans="1:16" s="13" customFormat="1" ht="14.4" x14ac:dyDescent="0.3">
      <c r="A82">
        <v>77</v>
      </c>
      <c r="B82" s="79" t="s">
        <v>141</v>
      </c>
      <c r="C82" s="57" t="s">
        <v>191</v>
      </c>
      <c r="D82" s="57" t="s">
        <v>203</v>
      </c>
      <c r="E82" s="57" t="s">
        <v>211</v>
      </c>
      <c r="F82" s="57" t="s">
        <v>14</v>
      </c>
      <c r="G82" s="57" t="s">
        <v>17</v>
      </c>
      <c r="H82" s="57" t="s">
        <v>51</v>
      </c>
      <c r="I82" s="57" t="s">
        <v>228</v>
      </c>
      <c r="J82" s="57" t="s">
        <v>224</v>
      </c>
      <c r="K82" s="57" t="s">
        <v>228</v>
      </c>
      <c r="L82" s="57" t="s">
        <v>55</v>
      </c>
      <c r="M82" s="57" t="s">
        <v>53</v>
      </c>
      <c r="N82" s="57" t="s">
        <v>241</v>
      </c>
      <c r="O82"/>
      <c r="P82" s="13" t="s">
        <v>45</v>
      </c>
    </row>
    <row r="83" spans="1:16" s="13" customFormat="1" ht="14.4" x14ac:dyDescent="0.3">
      <c r="A83">
        <v>78</v>
      </c>
      <c r="B83" s="79" t="s">
        <v>142</v>
      </c>
      <c r="C83" s="57" t="s">
        <v>191</v>
      </c>
      <c r="D83" s="57" t="s">
        <v>198</v>
      </c>
      <c r="E83" s="57" t="s">
        <v>211</v>
      </c>
      <c r="F83" s="57" t="s">
        <v>14</v>
      </c>
      <c r="G83" s="57" t="s">
        <v>18</v>
      </c>
      <c r="H83" s="57" t="s">
        <v>51</v>
      </c>
      <c r="I83" s="57" t="s">
        <v>229</v>
      </c>
      <c r="J83" s="57" t="s">
        <v>228</v>
      </c>
      <c r="K83" s="57" t="s">
        <v>224</v>
      </c>
      <c r="L83" s="57" t="s">
        <v>55</v>
      </c>
      <c r="M83" s="80" t="s">
        <v>53</v>
      </c>
      <c r="N83" s="80" t="s">
        <v>232</v>
      </c>
      <c r="O83"/>
      <c r="P83" s="13" t="s">
        <v>45</v>
      </c>
    </row>
    <row r="84" spans="1:16" s="13" customFormat="1" ht="14.4" x14ac:dyDescent="0.3">
      <c r="A84">
        <v>79</v>
      </c>
      <c r="B84" s="57" t="s">
        <v>143</v>
      </c>
      <c r="C84" s="57" t="s">
        <v>191</v>
      </c>
      <c r="D84" s="57" t="s">
        <v>194</v>
      </c>
      <c r="E84" s="57" t="s">
        <v>211</v>
      </c>
      <c r="F84" s="57" t="s">
        <v>12</v>
      </c>
      <c r="G84" s="57" t="s">
        <v>38</v>
      </c>
      <c r="H84" s="57" t="s">
        <v>51</v>
      </c>
      <c r="I84" s="57" t="s">
        <v>229</v>
      </c>
      <c r="J84" s="57" t="s">
        <v>229</v>
      </c>
      <c r="K84" s="57" t="s">
        <v>222</v>
      </c>
      <c r="L84" s="57" t="s">
        <v>55</v>
      </c>
      <c r="M84" s="57" t="s">
        <v>48</v>
      </c>
      <c r="N84" s="57" t="s">
        <v>245</v>
      </c>
      <c r="O84"/>
      <c r="P84" s="13" t="s">
        <v>45</v>
      </c>
    </row>
    <row r="85" spans="1:16" s="13" customFormat="1" ht="14.4" x14ac:dyDescent="0.3">
      <c r="A85">
        <v>80</v>
      </c>
      <c r="B85" s="57" t="s">
        <v>144</v>
      </c>
      <c r="C85" s="57" t="s">
        <v>191</v>
      </c>
      <c r="D85" s="57" t="s">
        <v>198</v>
      </c>
      <c r="E85" s="57" t="s">
        <v>211</v>
      </c>
      <c r="F85" s="57" t="s">
        <v>12</v>
      </c>
      <c r="G85" s="57" t="s">
        <v>38</v>
      </c>
      <c r="H85" s="57" t="s">
        <v>51</v>
      </c>
      <c r="I85" s="57" t="s">
        <v>228</v>
      </c>
      <c r="J85" s="57" t="s">
        <v>221</v>
      </c>
      <c r="K85" s="57" t="s">
        <v>226</v>
      </c>
      <c r="L85" s="57" t="s">
        <v>55</v>
      </c>
      <c r="M85" s="57" t="s">
        <v>48</v>
      </c>
      <c r="N85" s="57" t="s">
        <v>245</v>
      </c>
      <c r="O85"/>
      <c r="P85" s="13" t="s">
        <v>45</v>
      </c>
    </row>
    <row r="86" spans="1:16" s="13" customFormat="1" ht="14.4" x14ac:dyDescent="0.3">
      <c r="A86">
        <v>81</v>
      </c>
      <c r="B86" s="57" t="s">
        <v>145</v>
      </c>
      <c r="C86" s="57" t="s">
        <v>191</v>
      </c>
      <c r="D86" s="57" t="s">
        <v>203</v>
      </c>
      <c r="E86" s="57" t="s">
        <v>212</v>
      </c>
      <c r="F86" s="57" t="s">
        <v>14</v>
      </c>
      <c r="G86" s="57" t="s">
        <v>18</v>
      </c>
      <c r="H86" s="57" t="s">
        <v>51</v>
      </c>
      <c r="I86" s="57" t="s">
        <v>225</v>
      </c>
      <c r="J86" s="57" t="s">
        <v>229</v>
      </c>
      <c r="K86" s="57" t="s">
        <v>223</v>
      </c>
      <c r="L86" s="57" t="s">
        <v>55</v>
      </c>
      <c r="M86" s="57" t="s">
        <v>47</v>
      </c>
      <c r="N86" s="57" t="s">
        <v>248</v>
      </c>
      <c r="O86"/>
      <c r="P86" s="13" t="s">
        <v>45</v>
      </c>
    </row>
    <row r="87" spans="1:16" s="13" customFormat="1" ht="14.4" x14ac:dyDescent="0.3">
      <c r="A87">
        <v>82</v>
      </c>
      <c r="B87" s="78" t="s">
        <v>146</v>
      </c>
      <c r="C87" s="57" t="s">
        <v>191</v>
      </c>
      <c r="D87" s="57" t="s">
        <v>194</v>
      </c>
      <c r="E87" s="57" t="s">
        <v>212</v>
      </c>
      <c r="F87" s="57" t="s">
        <v>12</v>
      </c>
      <c r="G87" s="57" t="s">
        <v>13</v>
      </c>
      <c r="H87" s="57" t="s">
        <v>51</v>
      </c>
      <c r="I87" s="57" t="s">
        <v>223</v>
      </c>
      <c r="J87" s="57" t="s">
        <v>229</v>
      </c>
      <c r="K87" s="57" t="s">
        <v>228</v>
      </c>
      <c r="L87" s="57" t="s">
        <v>54</v>
      </c>
      <c r="M87" s="57" t="s">
        <v>48</v>
      </c>
      <c r="N87" s="57" t="s">
        <v>248</v>
      </c>
      <c r="O87"/>
      <c r="P87" s="13" t="s">
        <v>45</v>
      </c>
    </row>
    <row r="88" spans="1:16" s="13" customFormat="1" ht="14.4" x14ac:dyDescent="0.3">
      <c r="A88">
        <v>83</v>
      </c>
      <c r="B88" s="57" t="s">
        <v>147</v>
      </c>
      <c r="C88" s="57" t="s">
        <v>191</v>
      </c>
      <c r="D88" s="57" t="s">
        <v>194</v>
      </c>
      <c r="E88" s="57" t="s">
        <v>212</v>
      </c>
      <c r="F88" s="57" t="s">
        <v>12</v>
      </c>
      <c r="G88" s="57" t="s">
        <v>38</v>
      </c>
      <c r="H88" s="57" t="s">
        <v>51</v>
      </c>
      <c r="I88" s="57" t="s">
        <v>226</v>
      </c>
      <c r="J88" s="57" t="s">
        <v>223</v>
      </c>
      <c r="K88" s="57" t="s">
        <v>226</v>
      </c>
      <c r="L88" s="57" t="s">
        <v>54</v>
      </c>
      <c r="M88" s="57" t="s">
        <v>48</v>
      </c>
      <c r="N88" s="57" t="s">
        <v>246</v>
      </c>
      <c r="O88"/>
      <c r="P88" s="13" t="s">
        <v>45</v>
      </c>
    </row>
    <row r="89" spans="1:16" s="13" customFormat="1" ht="14.4" x14ac:dyDescent="0.3">
      <c r="A89">
        <v>84</v>
      </c>
      <c r="B89" s="57" t="s">
        <v>148</v>
      </c>
      <c r="C89" s="57" t="s">
        <v>191</v>
      </c>
      <c r="D89" s="57" t="s">
        <v>194</v>
      </c>
      <c r="E89" s="57" t="s">
        <v>212</v>
      </c>
      <c r="F89" s="57" t="s">
        <v>12</v>
      </c>
      <c r="G89" s="57" t="s">
        <v>38</v>
      </c>
      <c r="H89" s="57" t="s">
        <v>51</v>
      </c>
      <c r="I89" s="57" t="s">
        <v>227</v>
      </c>
      <c r="J89" s="57" t="s">
        <v>221</v>
      </c>
      <c r="K89" s="57" t="s">
        <v>228</v>
      </c>
      <c r="L89" s="57" t="s">
        <v>60</v>
      </c>
      <c r="M89" s="57" t="s">
        <v>48</v>
      </c>
      <c r="N89" s="57" t="s">
        <v>244</v>
      </c>
      <c r="O89"/>
      <c r="P89" s="13" t="s">
        <v>45</v>
      </c>
    </row>
    <row r="90" spans="1:16" s="13" customFormat="1" ht="14.4" x14ac:dyDescent="0.3">
      <c r="A90">
        <v>85</v>
      </c>
      <c r="B90" s="57" t="s">
        <v>149</v>
      </c>
      <c r="C90" s="57" t="s">
        <v>191</v>
      </c>
      <c r="D90" s="57" t="s">
        <v>198</v>
      </c>
      <c r="E90" s="57" t="s">
        <v>212</v>
      </c>
      <c r="F90" s="57" t="s">
        <v>14</v>
      </c>
      <c r="G90" s="57" t="s">
        <v>15</v>
      </c>
      <c r="H90" s="57" t="s">
        <v>51</v>
      </c>
      <c r="I90" s="57" t="s">
        <v>229</v>
      </c>
      <c r="J90" s="57" t="s">
        <v>229</v>
      </c>
      <c r="K90" s="57" t="s">
        <v>225</v>
      </c>
      <c r="L90" s="57" t="s">
        <v>55</v>
      </c>
      <c r="M90" s="57" t="s">
        <v>53</v>
      </c>
      <c r="N90" s="57" t="s">
        <v>237</v>
      </c>
      <c r="O90"/>
      <c r="P90" s="13" t="s">
        <v>45</v>
      </c>
    </row>
    <row r="91" spans="1:16" s="13" customFormat="1" ht="14.4" x14ac:dyDescent="0.3">
      <c r="A91">
        <v>86</v>
      </c>
      <c r="B91" s="57" t="s">
        <v>150</v>
      </c>
      <c r="C91" s="57" t="s">
        <v>191</v>
      </c>
      <c r="D91" s="57" t="s">
        <v>198</v>
      </c>
      <c r="E91" s="57" t="s">
        <v>212</v>
      </c>
      <c r="F91" s="57" t="s">
        <v>14</v>
      </c>
      <c r="G91" s="57" t="s">
        <v>17</v>
      </c>
      <c r="H91" s="57" t="s">
        <v>51</v>
      </c>
      <c r="I91" s="57" t="s">
        <v>223</v>
      </c>
      <c r="J91" s="57" t="s">
        <v>229</v>
      </c>
      <c r="K91" s="57" t="s">
        <v>224</v>
      </c>
      <c r="L91" s="57" t="s">
        <v>54</v>
      </c>
      <c r="M91" s="57" t="s">
        <v>47</v>
      </c>
      <c r="N91" s="57" t="s">
        <v>247</v>
      </c>
      <c r="O91"/>
      <c r="P91" s="13" t="s">
        <v>45</v>
      </c>
    </row>
    <row r="92" spans="1:16" s="13" customFormat="1" ht="14.4" x14ac:dyDescent="0.3">
      <c r="A92">
        <v>87</v>
      </c>
      <c r="B92" s="57" t="s">
        <v>151</v>
      </c>
      <c r="C92" s="57" t="s">
        <v>191</v>
      </c>
      <c r="D92" s="57" t="s">
        <v>198</v>
      </c>
      <c r="E92" s="57" t="s">
        <v>212</v>
      </c>
      <c r="F92" s="57" t="s">
        <v>11</v>
      </c>
      <c r="G92" s="57" t="s">
        <v>38</v>
      </c>
      <c r="H92" s="57" t="s">
        <v>51</v>
      </c>
      <c r="I92" s="57" t="s">
        <v>229</v>
      </c>
      <c r="J92" s="57" t="s">
        <v>229</v>
      </c>
      <c r="K92" s="57" t="s">
        <v>229</v>
      </c>
      <c r="L92" s="57" t="s">
        <v>55</v>
      </c>
      <c r="M92" s="57" t="s">
        <v>47</v>
      </c>
      <c r="N92" s="57" t="s">
        <v>239</v>
      </c>
      <c r="O92"/>
      <c r="P92" s="13" t="s">
        <v>23</v>
      </c>
    </row>
    <row r="93" spans="1:16" s="13" customFormat="1" ht="14.4" x14ac:dyDescent="0.3">
      <c r="A93">
        <v>88</v>
      </c>
      <c r="B93" s="57" t="s">
        <v>152</v>
      </c>
      <c r="C93" s="57" t="s">
        <v>191</v>
      </c>
      <c r="D93" s="57" t="s">
        <v>198</v>
      </c>
      <c r="E93" s="57" t="s">
        <v>212</v>
      </c>
      <c r="F93" s="57" t="s">
        <v>11</v>
      </c>
      <c r="G93" s="57" t="s">
        <v>38</v>
      </c>
      <c r="H93" s="57" t="s">
        <v>51</v>
      </c>
      <c r="I93" s="57" t="s">
        <v>229</v>
      </c>
      <c r="J93" s="57" t="s">
        <v>223</v>
      </c>
      <c r="K93" s="57" t="s">
        <v>229</v>
      </c>
      <c r="L93" s="57" t="s">
        <v>55</v>
      </c>
      <c r="M93" s="57" t="s">
        <v>47</v>
      </c>
      <c r="N93" s="57" t="s">
        <v>232</v>
      </c>
      <c r="O93"/>
      <c r="P93" s="13" t="s">
        <v>45</v>
      </c>
    </row>
    <row r="94" spans="1:16" s="13" customFormat="1" ht="14.4" x14ac:dyDescent="0.3">
      <c r="A94">
        <v>89</v>
      </c>
      <c r="B94" s="57" t="s">
        <v>153</v>
      </c>
      <c r="C94" s="57" t="s">
        <v>191</v>
      </c>
      <c r="D94" s="57" t="s">
        <v>194</v>
      </c>
      <c r="E94" s="57" t="s">
        <v>212</v>
      </c>
      <c r="F94" s="57" t="s">
        <v>11</v>
      </c>
      <c r="G94" s="57" t="s">
        <v>38</v>
      </c>
      <c r="H94" s="57" t="s">
        <v>51</v>
      </c>
      <c r="I94" s="57" t="s">
        <v>227</v>
      </c>
      <c r="J94" s="57" t="s">
        <v>222</v>
      </c>
      <c r="K94" s="57" t="s">
        <v>223</v>
      </c>
      <c r="L94" s="57" t="s">
        <v>54</v>
      </c>
      <c r="M94" s="57" t="s">
        <v>48</v>
      </c>
      <c r="N94" s="57" t="s">
        <v>243</v>
      </c>
      <c r="O94"/>
      <c r="P94" s="13" t="s">
        <v>45</v>
      </c>
    </row>
    <row r="95" spans="1:16" s="13" customFormat="1" ht="14.4" x14ac:dyDescent="0.3">
      <c r="A95">
        <v>90</v>
      </c>
      <c r="B95" s="57" t="s">
        <v>154</v>
      </c>
      <c r="C95" s="57" t="s">
        <v>192</v>
      </c>
      <c r="D95" s="57" t="s">
        <v>200</v>
      </c>
      <c r="E95" s="57" t="s">
        <v>213</v>
      </c>
      <c r="F95" s="57" t="s">
        <v>14</v>
      </c>
      <c r="G95" s="57" t="s">
        <v>15</v>
      </c>
      <c r="H95" s="57" t="s">
        <v>51</v>
      </c>
      <c r="I95" s="57" t="s">
        <v>221</v>
      </c>
      <c r="J95" s="57" t="s">
        <v>227</v>
      </c>
      <c r="K95" s="57" t="s">
        <v>222</v>
      </c>
      <c r="L95" s="57" t="s">
        <v>56</v>
      </c>
      <c r="M95" s="57" t="s">
        <v>53</v>
      </c>
      <c r="N95" s="57" t="s">
        <v>243</v>
      </c>
      <c r="O95"/>
      <c r="P95" s="13" t="s">
        <v>45</v>
      </c>
    </row>
    <row r="96" spans="1:16" s="13" customFormat="1" ht="14.4" x14ac:dyDescent="0.3">
      <c r="A96">
        <v>91</v>
      </c>
      <c r="B96" s="57" t="s">
        <v>155</v>
      </c>
      <c r="C96" s="57" t="s">
        <v>192</v>
      </c>
      <c r="D96" s="57" t="s">
        <v>200</v>
      </c>
      <c r="E96" s="57" t="s">
        <v>213</v>
      </c>
      <c r="F96" s="57" t="s">
        <v>14</v>
      </c>
      <c r="G96" s="57" t="s">
        <v>15</v>
      </c>
      <c r="H96" s="57" t="s">
        <v>46</v>
      </c>
      <c r="I96" s="57" t="s">
        <v>223</v>
      </c>
      <c r="J96" s="57" t="s">
        <v>229</v>
      </c>
      <c r="K96" s="57" t="s">
        <v>223</v>
      </c>
      <c r="L96" s="57" t="s">
        <v>52</v>
      </c>
      <c r="M96" s="57" t="s">
        <v>53</v>
      </c>
      <c r="N96" s="57" t="s">
        <v>234</v>
      </c>
      <c r="O96"/>
      <c r="P96" s="13" t="s">
        <v>45</v>
      </c>
    </row>
    <row r="97" spans="1:16" s="13" customFormat="1" ht="14.4" x14ac:dyDescent="0.3">
      <c r="A97">
        <v>92</v>
      </c>
      <c r="B97" s="57" t="s">
        <v>156</v>
      </c>
      <c r="C97" s="57" t="s">
        <v>192</v>
      </c>
      <c r="D97" s="57" t="s">
        <v>200</v>
      </c>
      <c r="E97" s="57" t="s">
        <v>213</v>
      </c>
      <c r="F97" s="57" t="s">
        <v>14</v>
      </c>
      <c r="G97" s="57" t="s">
        <v>15</v>
      </c>
      <c r="H97" s="57" t="s">
        <v>51</v>
      </c>
      <c r="I97" s="57" t="s">
        <v>222</v>
      </c>
      <c r="J97" s="57" t="s">
        <v>227</v>
      </c>
      <c r="K97" s="57" t="s">
        <v>221</v>
      </c>
      <c r="L97" s="57" t="s">
        <v>56</v>
      </c>
      <c r="M97" s="57" t="s">
        <v>53</v>
      </c>
      <c r="N97" s="57" t="s">
        <v>243</v>
      </c>
      <c r="O97"/>
      <c r="P97" s="13" t="s">
        <v>45</v>
      </c>
    </row>
    <row r="98" spans="1:16" s="13" customFormat="1" ht="14.4" x14ac:dyDescent="0.3">
      <c r="A98">
        <v>93</v>
      </c>
      <c r="B98" s="57" t="s">
        <v>157</v>
      </c>
      <c r="C98" s="57" t="s">
        <v>192</v>
      </c>
      <c r="D98" s="57" t="s">
        <v>200</v>
      </c>
      <c r="E98" s="57" t="s">
        <v>213</v>
      </c>
      <c r="F98" s="57" t="s">
        <v>14</v>
      </c>
      <c r="G98" s="57" t="s">
        <v>15</v>
      </c>
      <c r="H98" s="57" t="s">
        <v>51</v>
      </c>
      <c r="I98" s="57" t="s">
        <v>221</v>
      </c>
      <c r="J98" s="57" t="s">
        <v>223</v>
      </c>
      <c r="K98" s="57" t="s">
        <v>221</v>
      </c>
      <c r="L98" s="57" t="s">
        <v>56</v>
      </c>
      <c r="M98" s="57" t="s">
        <v>53</v>
      </c>
      <c r="N98" s="57" t="s">
        <v>245</v>
      </c>
      <c r="O98"/>
      <c r="P98" s="13" t="s">
        <v>45</v>
      </c>
    </row>
    <row r="99" spans="1:16" s="13" customFormat="1" ht="14.4" x14ac:dyDescent="0.3">
      <c r="A99">
        <v>94</v>
      </c>
      <c r="B99" s="57" t="s">
        <v>158</v>
      </c>
      <c r="C99" s="57" t="s">
        <v>192</v>
      </c>
      <c r="D99" s="57" t="s">
        <v>200</v>
      </c>
      <c r="E99" s="57" t="s">
        <v>213</v>
      </c>
      <c r="F99" s="57" t="s">
        <v>14</v>
      </c>
      <c r="G99" s="57" t="s">
        <v>15</v>
      </c>
      <c r="H99" s="57" t="s">
        <v>51</v>
      </c>
      <c r="I99" s="57" t="s">
        <v>229</v>
      </c>
      <c r="J99" s="57" t="s">
        <v>228</v>
      </c>
      <c r="K99" s="57" t="s">
        <v>226</v>
      </c>
      <c r="L99" s="57" t="s">
        <v>52</v>
      </c>
      <c r="M99" s="57" t="s">
        <v>53</v>
      </c>
      <c r="N99" s="57" t="s">
        <v>246</v>
      </c>
      <c r="O99"/>
      <c r="P99" s="13" t="s">
        <v>45</v>
      </c>
    </row>
    <row r="100" spans="1:16" s="13" customFormat="1" ht="14.4" x14ac:dyDescent="0.3">
      <c r="A100">
        <v>95</v>
      </c>
      <c r="B100" s="57" t="s">
        <v>159</v>
      </c>
      <c r="C100" s="57" t="s">
        <v>192</v>
      </c>
      <c r="D100" s="57" t="s">
        <v>203</v>
      </c>
      <c r="E100" s="57" t="s">
        <v>213</v>
      </c>
      <c r="F100" s="57" t="s">
        <v>11</v>
      </c>
      <c r="G100" s="57" t="s">
        <v>37</v>
      </c>
      <c r="H100" s="57" t="s">
        <v>51</v>
      </c>
      <c r="I100" s="57" t="s">
        <v>226</v>
      </c>
      <c r="J100" s="57" t="s">
        <v>224</v>
      </c>
      <c r="K100" s="57" t="s">
        <v>222</v>
      </c>
      <c r="L100" s="57" t="s">
        <v>56</v>
      </c>
      <c r="M100" s="57" t="s">
        <v>53</v>
      </c>
      <c r="N100" s="57" t="s">
        <v>233</v>
      </c>
      <c r="O100"/>
      <c r="P100" s="13" t="s">
        <v>45</v>
      </c>
    </row>
    <row r="101" spans="1:16" s="13" customFormat="1" ht="14.4" x14ac:dyDescent="0.3">
      <c r="A101">
        <v>96</v>
      </c>
      <c r="B101" s="57" t="s">
        <v>160</v>
      </c>
      <c r="C101" s="57" t="s">
        <v>192</v>
      </c>
      <c r="D101" s="57" t="s">
        <v>203</v>
      </c>
      <c r="E101" s="57" t="s">
        <v>213</v>
      </c>
      <c r="F101" s="57" t="s">
        <v>11</v>
      </c>
      <c r="G101" s="57" t="s">
        <v>37</v>
      </c>
      <c r="H101" s="57" t="s">
        <v>57</v>
      </c>
      <c r="I101" s="57" t="s">
        <v>228</v>
      </c>
      <c r="J101" s="57" t="s">
        <v>224</v>
      </c>
      <c r="K101" s="57" t="s">
        <v>221</v>
      </c>
      <c r="L101" s="57" t="s">
        <v>56</v>
      </c>
      <c r="M101" s="57" t="s">
        <v>53</v>
      </c>
      <c r="N101" s="57" t="s">
        <v>244</v>
      </c>
      <c r="O101"/>
      <c r="P101" s="13" t="s">
        <v>45</v>
      </c>
    </row>
    <row r="102" spans="1:16" s="13" customFormat="1" ht="14.4" x14ac:dyDescent="0.3">
      <c r="A102">
        <v>97</v>
      </c>
      <c r="B102" s="57" t="s">
        <v>161</v>
      </c>
      <c r="C102" s="57" t="s">
        <v>192</v>
      </c>
      <c r="D102" s="57" t="s">
        <v>200</v>
      </c>
      <c r="E102" s="57" t="s">
        <v>213</v>
      </c>
      <c r="F102" s="57" t="s">
        <v>14</v>
      </c>
      <c r="G102" s="57" t="s">
        <v>15</v>
      </c>
      <c r="H102" s="57" t="s">
        <v>51</v>
      </c>
      <c r="I102" s="57" t="s">
        <v>222</v>
      </c>
      <c r="J102" s="57" t="s">
        <v>225</v>
      </c>
      <c r="K102" s="57" t="s">
        <v>222</v>
      </c>
      <c r="L102" s="57" t="s">
        <v>56</v>
      </c>
      <c r="M102" s="57" t="s">
        <v>53</v>
      </c>
      <c r="N102" s="57" t="s">
        <v>241</v>
      </c>
      <c r="O102"/>
      <c r="P102" s="13" t="s">
        <v>45</v>
      </c>
    </row>
    <row r="103" spans="1:16" s="13" customFormat="1" ht="14.4" x14ac:dyDescent="0.3">
      <c r="A103">
        <v>98</v>
      </c>
      <c r="B103" s="57" t="s">
        <v>162</v>
      </c>
      <c r="C103" s="57" t="s">
        <v>192</v>
      </c>
      <c r="D103" s="57" t="s">
        <v>200</v>
      </c>
      <c r="E103" s="57" t="s">
        <v>213</v>
      </c>
      <c r="F103" s="57" t="s">
        <v>14</v>
      </c>
      <c r="G103" s="57" t="s">
        <v>15</v>
      </c>
      <c r="H103" s="57" t="s">
        <v>51</v>
      </c>
      <c r="I103" s="57" t="s">
        <v>228</v>
      </c>
      <c r="J103" s="57" t="s">
        <v>226</v>
      </c>
      <c r="K103" s="57" t="s">
        <v>226</v>
      </c>
      <c r="L103" s="57" t="s">
        <v>56</v>
      </c>
      <c r="M103" s="57" t="s">
        <v>53</v>
      </c>
      <c r="N103" s="57" t="s">
        <v>241</v>
      </c>
      <c r="O103"/>
      <c r="P103" s="13" t="s">
        <v>45</v>
      </c>
    </row>
    <row r="104" spans="1:16" s="13" customFormat="1" ht="14.4" x14ac:dyDescent="0.3">
      <c r="A104">
        <v>99</v>
      </c>
      <c r="B104" s="57" t="s">
        <v>163</v>
      </c>
      <c r="C104" s="57" t="s">
        <v>193</v>
      </c>
      <c r="D104" s="57" t="s">
        <v>202</v>
      </c>
      <c r="E104" s="57" t="s">
        <v>214</v>
      </c>
      <c r="F104" s="57" t="s">
        <v>14</v>
      </c>
      <c r="G104" s="57" t="s">
        <v>18</v>
      </c>
      <c r="H104" s="57" t="s">
        <v>51</v>
      </c>
      <c r="I104" s="57" t="s">
        <v>228</v>
      </c>
      <c r="J104" s="57" t="s">
        <v>224</v>
      </c>
      <c r="K104" s="57" t="s">
        <v>226</v>
      </c>
      <c r="L104" s="57" t="s">
        <v>52</v>
      </c>
      <c r="M104" s="57" t="s">
        <v>53</v>
      </c>
      <c r="N104" s="57" t="s">
        <v>237</v>
      </c>
      <c r="O104"/>
      <c r="P104" s="13" t="s">
        <v>45</v>
      </c>
    </row>
    <row r="105" spans="1:16" s="13" customFormat="1" ht="14.4" x14ac:dyDescent="0.3">
      <c r="A105">
        <v>100</v>
      </c>
      <c r="B105" s="57" t="s">
        <v>164</v>
      </c>
      <c r="C105" s="57" t="s">
        <v>193</v>
      </c>
      <c r="D105" s="57" t="s">
        <v>202</v>
      </c>
      <c r="E105" s="57" t="s">
        <v>214</v>
      </c>
      <c r="F105" s="57" t="s">
        <v>12</v>
      </c>
      <c r="G105" s="57" t="s">
        <v>13</v>
      </c>
      <c r="H105" s="57" t="s">
        <v>51</v>
      </c>
      <c r="I105" s="57" t="s">
        <v>227</v>
      </c>
      <c r="J105" s="57" t="s">
        <v>223</v>
      </c>
      <c r="K105" s="57" t="s">
        <v>227</v>
      </c>
      <c r="L105" s="57" t="s">
        <v>54</v>
      </c>
      <c r="M105" s="57" t="s">
        <v>49</v>
      </c>
      <c r="N105" s="57" t="s">
        <v>245</v>
      </c>
      <c r="O105"/>
      <c r="P105" s="13" t="s">
        <v>45</v>
      </c>
    </row>
    <row r="106" spans="1:16" s="13" customFormat="1" ht="14.4" x14ac:dyDescent="0.3">
      <c r="A106">
        <v>101</v>
      </c>
      <c r="B106" s="57" t="s">
        <v>165</v>
      </c>
      <c r="C106" s="57" t="s">
        <v>193</v>
      </c>
      <c r="D106" s="57" t="s">
        <v>202</v>
      </c>
      <c r="E106" s="57" t="s">
        <v>214</v>
      </c>
      <c r="F106" s="57" t="s">
        <v>14</v>
      </c>
      <c r="G106" s="57" t="s">
        <v>18</v>
      </c>
      <c r="H106" s="57" t="s">
        <v>51</v>
      </c>
      <c r="I106" s="57" t="s">
        <v>228</v>
      </c>
      <c r="J106" s="57" t="s">
        <v>225</v>
      </c>
      <c r="K106" s="57" t="s">
        <v>227</v>
      </c>
      <c r="L106" s="57" t="s">
        <v>52</v>
      </c>
      <c r="M106" s="57" t="s">
        <v>53</v>
      </c>
      <c r="N106" s="57" t="s">
        <v>234</v>
      </c>
      <c r="O106"/>
      <c r="P106" s="13" t="s">
        <v>45</v>
      </c>
    </row>
    <row r="107" spans="1:16" s="13" customFormat="1" ht="14.4" x14ac:dyDescent="0.3">
      <c r="A107">
        <v>102</v>
      </c>
      <c r="B107" s="57" t="s">
        <v>166</v>
      </c>
      <c r="C107" s="57" t="s">
        <v>193</v>
      </c>
      <c r="D107" s="57" t="s">
        <v>202</v>
      </c>
      <c r="E107" s="57" t="s">
        <v>214</v>
      </c>
      <c r="F107" s="57" t="s">
        <v>14</v>
      </c>
      <c r="G107" s="57" t="s">
        <v>18</v>
      </c>
      <c r="H107" s="57" t="s">
        <v>51</v>
      </c>
      <c r="I107" s="57" t="s">
        <v>222</v>
      </c>
      <c r="J107" s="57" t="s">
        <v>223</v>
      </c>
      <c r="K107" s="57" t="s">
        <v>229</v>
      </c>
      <c r="L107" s="57" t="s">
        <v>52</v>
      </c>
      <c r="M107" s="57" t="s">
        <v>53</v>
      </c>
      <c r="N107" s="57" t="s">
        <v>244</v>
      </c>
      <c r="O107"/>
      <c r="P107" s="13" t="s">
        <v>45</v>
      </c>
    </row>
    <row r="108" spans="1:16" s="13" customFormat="1" ht="14.4" x14ac:dyDescent="0.3">
      <c r="A108">
        <v>103</v>
      </c>
      <c r="B108" s="57" t="s">
        <v>167</v>
      </c>
      <c r="C108" s="57" t="s">
        <v>193</v>
      </c>
      <c r="D108" s="57" t="s">
        <v>202</v>
      </c>
      <c r="E108" s="57" t="s">
        <v>214</v>
      </c>
      <c r="F108" s="57" t="s">
        <v>12</v>
      </c>
      <c r="G108" s="57" t="s">
        <v>38</v>
      </c>
      <c r="H108" s="57" t="s">
        <v>51</v>
      </c>
      <c r="I108" s="57" t="s">
        <v>229</v>
      </c>
      <c r="J108" s="57" t="s">
        <v>224</v>
      </c>
      <c r="K108" s="57" t="s">
        <v>226</v>
      </c>
      <c r="L108" s="57" t="s">
        <v>52</v>
      </c>
      <c r="M108" s="57" t="s">
        <v>53</v>
      </c>
      <c r="N108" s="57" t="s">
        <v>230</v>
      </c>
      <c r="O108"/>
      <c r="P108" s="13" t="s">
        <v>45</v>
      </c>
    </row>
    <row r="109" spans="1:16" s="13" customFormat="1" ht="14.4" x14ac:dyDescent="0.3">
      <c r="A109">
        <v>104</v>
      </c>
      <c r="B109" s="57" t="s">
        <v>168</v>
      </c>
      <c r="C109" s="57" t="s">
        <v>193</v>
      </c>
      <c r="D109" s="57" t="s">
        <v>199</v>
      </c>
      <c r="E109" s="57" t="s">
        <v>214</v>
      </c>
      <c r="F109" s="57" t="s">
        <v>11</v>
      </c>
      <c r="G109" s="57" t="s">
        <v>37</v>
      </c>
      <c r="H109" s="57" t="s">
        <v>46</v>
      </c>
      <c r="I109" s="57" t="s">
        <v>224</v>
      </c>
      <c r="J109" s="57" t="s">
        <v>223</v>
      </c>
      <c r="K109" s="57" t="s">
        <v>225</v>
      </c>
      <c r="L109" s="57" t="s">
        <v>52</v>
      </c>
      <c r="M109" s="57" t="s">
        <v>54</v>
      </c>
      <c r="N109" s="57" t="s">
        <v>231</v>
      </c>
      <c r="O109"/>
      <c r="P109" s="13" t="s">
        <v>45</v>
      </c>
    </row>
    <row r="110" spans="1:16" s="13" customFormat="1" ht="14.4" x14ac:dyDescent="0.3">
      <c r="A110">
        <v>105</v>
      </c>
      <c r="B110" s="57" t="s">
        <v>169</v>
      </c>
      <c r="C110" s="57" t="s">
        <v>193</v>
      </c>
      <c r="D110" s="57" t="s">
        <v>199</v>
      </c>
      <c r="E110" s="57" t="s">
        <v>214</v>
      </c>
      <c r="F110" s="57" t="s">
        <v>11</v>
      </c>
      <c r="G110" s="57" t="s">
        <v>37</v>
      </c>
      <c r="H110" s="57" t="s">
        <v>46</v>
      </c>
      <c r="I110" s="57" t="s">
        <v>227</v>
      </c>
      <c r="J110" s="57" t="s">
        <v>224</v>
      </c>
      <c r="K110" s="57" t="s">
        <v>226</v>
      </c>
      <c r="L110" s="57" t="s">
        <v>52</v>
      </c>
      <c r="M110" s="57" t="s">
        <v>54</v>
      </c>
      <c r="N110" s="57" t="s">
        <v>240</v>
      </c>
      <c r="O110"/>
      <c r="P110" s="13" t="s">
        <v>45</v>
      </c>
    </row>
    <row r="111" spans="1:16" s="13" customFormat="1" ht="14.4" x14ac:dyDescent="0.3">
      <c r="A111">
        <v>106</v>
      </c>
      <c r="B111" s="57" t="s">
        <v>170</v>
      </c>
      <c r="C111" s="57" t="s">
        <v>193</v>
      </c>
      <c r="D111" s="57" t="s">
        <v>199</v>
      </c>
      <c r="E111" s="57" t="s">
        <v>214</v>
      </c>
      <c r="F111" s="57" t="s">
        <v>11</v>
      </c>
      <c r="G111" s="57" t="s">
        <v>37</v>
      </c>
      <c r="H111" s="57" t="s">
        <v>46</v>
      </c>
      <c r="I111" s="57" t="s">
        <v>224</v>
      </c>
      <c r="J111" s="57" t="s">
        <v>222</v>
      </c>
      <c r="K111" s="57" t="s">
        <v>225</v>
      </c>
      <c r="L111" s="57" t="s">
        <v>52</v>
      </c>
      <c r="M111" s="57" t="s">
        <v>54</v>
      </c>
      <c r="N111" s="57" t="s">
        <v>236</v>
      </c>
      <c r="O111"/>
      <c r="P111" s="13" t="s">
        <v>45</v>
      </c>
    </row>
    <row r="112" spans="1:16" s="13" customFormat="1" ht="14.4" x14ac:dyDescent="0.3">
      <c r="A112">
        <v>107</v>
      </c>
      <c r="B112" s="57" t="s">
        <v>171</v>
      </c>
      <c r="C112" s="57" t="s">
        <v>193</v>
      </c>
      <c r="D112" s="57" t="s">
        <v>199</v>
      </c>
      <c r="E112" s="57" t="s">
        <v>214</v>
      </c>
      <c r="F112" s="57" t="s">
        <v>11</v>
      </c>
      <c r="G112" s="57" t="s">
        <v>37</v>
      </c>
      <c r="H112" s="57" t="s">
        <v>46</v>
      </c>
      <c r="I112" s="57" t="s">
        <v>223</v>
      </c>
      <c r="J112" s="57" t="s">
        <v>225</v>
      </c>
      <c r="K112" s="57" t="s">
        <v>226</v>
      </c>
      <c r="L112" s="57" t="s">
        <v>52</v>
      </c>
      <c r="M112" s="57" t="s">
        <v>54</v>
      </c>
      <c r="N112" s="57" t="s">
        <v>248</v>
      </c>
      <c r="O112"/>
      <c r="P112" s="13" t="s">
        <v>45</v>
      </c>
    </row>
    <row r="113" spans="1:19" s="13" customFormat="1" ht="14.4" x14ac:dyDescent="0.3">
      <c r="A113">
        <v>108</v>
      </c>
      <c r="B113" s="57" t="s">
        <v>172</v>
      </c>
      <c r="C113" s="57" t="s">
        <v>193</v>
      </c>
      <c r="D113" s="57" t="s">
        <v>199</v>
      </c>
      <c r="E113" s="57" t="s">
        <v>214</v>
      </c>
      <c r="F113" s="57" t="s">
        <v>11</v>
      </c>
      <c r="G113" s="57" t="s">
        <v>37</v>
      </c>
      <c r="H113" s="57" t="s">
        <v>46</v>
      </c>
      <c r="I113" s="57" t="s">
        <v>225</v>
      </c>
      <c r="J113" s="57" t="s">
        <v>221</v>
      </c>
      <c r="K113" s="57" t="s">
        <v>224</v>
      </c>
      <c r="L113" s="57" t="s">
        <v>52</v>
      </c>
      <c r="M113" s="57" t="s">
        <v>54</v>
      </c>
      <c r="N113" s="57" t="s">
        <v>236</v>
      </c>
      <c r="O113"/>
      <c r="P113" s="13" t="s">
        <v>45</v>
      </c>
    </row>
    <row r="114" spans="1:19" s="13" customFormat="1" ht="14.4" x14ac:dyDescent="0.3">
      <c r="A114">
        <v>109</v>
      </c>
      <c r="B114" s="57" t="s">
        <v>173</v>
      </c>
      <c r="C114" s="57" t="s">
        <v>193</v>
      </c>
      <c r="D114" s="57" t="s">
        <v>199</v>
      </c>
      <c r="E114" s="57" t="s">
        <v>214</v>
      </c>
      <c r="F114" s="57" t="s">
        <v>11</v>
      </c>
      <c r="G114" s="57" t="s">
        <v>37</v>
      </c>
      <c r="H114" s="57" t="s">
        <v>46</v>
      </c>
      <c r="I114" s="57" t="s">
        <v>222</v>
      </c>
      <c r="J114" s="57" t="s">
        <v>227</v>
      </c>
      <c r="K114" s="57" t="s">
        <v>229</v>
      </c>
      <c r="L114" s="57" t="s">
        <v>52</v>
      </c>
      <c r="M114" s="57" t="s">
        <v>54</v>
      </c>
      <c r="N114" s="57" t="s">
        <v>232</v>
      </c>
      <c r="O114"/>
      <c r="P114" s="13" t="s">
        <v>45</v>
      </c>
    </row>
    <row r="115" spans="1:19" s="13" customFormat="1" ht="14.4" x14ac:dyDescent="0.3">
      <c r="A115">
        <v>110</v>
      </c>
      <c r="B115" s="57" t="s">
        <v>174</v>
      </c>
      <c r="C115" s="57" t="s">
        <v>193</v>
      </c>
      <c r="D115" s="57" t="s">
        <v>199</v>
      </c>
      <c r="E115" s="57" t="s">
        <v>214</v>
      </c>
      <c r="F115" s="57" t="s">
        <v>12</v>
      </c>
      <c r="G115" s="57" t="s">
        <v>37</v>
      </c>
      <c r="H115" s="57" t="s">
        <v>46</v>
      </c>
      <c r="I115" s="57" t="s">
        <v>227</v>
      </c>
      <c r="J115" s="57" t="s">
        <v>225</v>
      </c>
      <c r="K115" s="57" t="s">
        <v>225</v>
      </c>
      <c r="L115" s="57" t="s">
        <v>52</v>
      </c>
      <c r="M115" s="57" t="s">
        <v>54</v>
      </c>
      <c r="N115" s="57" t="s">
        <v>235</v>
      </c>
      <c r="O115"/>
      <c r="P115" s="13" t="s">
        <v>45</v>
      </c>
    </row>
    <row r="116" spans="1:19" s="13" customFormat="1" ht="14.4" x14ac:dyDescent="0.3">
      <c r="A116">
        <v>111</v>
      </c>
      <c r="B116" s="57" t="s">
        <v>175</v>
      </c>
      <c r="C116" s="57" t="s">
        <v>193</v>
      </c>
      <c r="D116" s="57" t="s">
        <v>199</v>
      </c>
      <c r="E116" s="57" t="s">
        <v>214</v>
      </c>
      <c r="F116" s="57" t="s">
        <v>11</v>
      </c>
      <c r="G116" s="57" t="s">
        <v>37</v>
      </c>
      <c r="H116" s="57" t="s">
        <v>46</v>
      </c>
      <c r="I116" s="57" t="s">
        <v>224</v>
      </c>
      <c r="J116" s="57" t="s">
        <v>226</v>
      </c>
      <c r="K116" s="57" t="s">
        <v>228</v>
      </c>
      <c r="L116" s="57" t="s">
        <v>52</v>
      </c>
      <c r="M116" s="57" t="s">
        <v>54</v>
      </c>
      <c r="N116" s="57" t="s">
        <v>246</v>
      </c>
      <c r="O116"/>
      <c r="P116" s="13" t="s">
        <v>45</v>
      </c>
    </row>
    <row r="117" spans="1:19" s="13" customFormat="1" ht="14.4" x14ac:dyDescent="0.3">
      <c r="A117">
        <v>112</v>
      </c>
      <c r="B117" s="57" t="s">
        <v>176</v>
      </c>
      <c r="C117" s="57" t="s">
        <v>193</v>
      </c>
      <c r="D117" s="57" t="s">
        <v>199</v>
      </c>
      <c r="E117" s="57" t="s">
        <v>214</v>
      </c>
      <c r="F117" s="57" t="s">
        <v>12</v>
      </c>
      <c r="G117" s="57" t="s">
        <v>37</v>
      </c>
      <c r="H117" s="57" t="s">
        <v>46</v>
      </c>
      <c r="I117" s="57" t="s">
        <v>227</v>
      </c>
      <c r="J117" s="57" t="s">
        <v>229</v>
      </c>
      <c r="K117" s="57" t="s">
        <v>225</v>
      </c>
      <c r="L117" s="57" t="s">
        <v>52</v>
      </c>
      <c r="M117" s="57" t="s">
        <v>54</v>
      </c>
      <c r="N117" s="57" t="s">
        <v>232</v>
      </c>
      <c r="O117"/>
      <c r="P117" s="13" t="s">
        <v>45</v>
      </c>
    </row>
    <row r="118" spans="1:19" s="13" customFormat="1" ht="14.4" x14ac:dyDescent="0.3">
      <c r="A118">
        <v>113</v>
      </c>
      <c r="B118" s="57" t="s">
        <v>177</v>
      </c>
      <c r="C118" s="57" t="s">
        <v>193</v>
      </c>
      <c r="D118" s="57" t="s">
        <v>202</v>
      </c>
      <c r="E118" s="57" t="s">
        <v>214</v>
      </c>
      <c r="F118" s="57" t="s">
        <v>12</v>
      </c>
      <c r="G118" s="57" t="s">
        <v>13</v>
      </c>
      <c r="H118" s="57" t="s">
        <v>51</v>
      </c>
      <c r="I118" s="57" t="s">
        <v>229</v>
      </c>
      <c r="J118" s="57" t="s">
        <v>224</v>
      </c>
      <c r="K118" s="57" t="s">
        <v>221</v>
      </c>
      <c r="L118" s="57" t="s">
        <v>54</v>
      </c>
      <c r="M118" s="57" t="s">
        <v>49</v>
      </c>
      <c r="N118" s="57" t="s">
        <v>245</v>
      </c>
      <c r="O118"/>
      <c r="P118" s="13" t="s">
        <v>45</v>
      </c>
    </row>
    <row r="119" spans="1:19" s="13" customFormat="1" ht="14.4" x14ac:dyDescent="0.3">
      <c r="A119">
        <v>114</v>
      </c>
      <c r="B119" s="57" t="s">
        <v>178</v>
      </c>
      <c r="C119" s="57" t="s">
        <v>193</v>
      </c>
      <c r="D119" s="57" t="s">
        <v>202</v>
      </c>
      <c r="E119" s="57" t="s">
        <v>214</v>
      </c>
      <c r="F119" s="57" t="s">
        <v>12</v>
      </c>
      <c r="G119" s="57" t="s">
        <v>38</v>
      </c>
      <c r="H119" s="57" t="s">
        <v>51</v>
      </c>
      <c r="I119" s="57" t="s">
        <v>227</v>
      </c>
      <c r="J119" s="57" t="s">
        <v>227</v>
      </c>
      <c r="K119" s="57" t="s">
        <v>226</v>
      </c>
      <c r="L119" s="57" t="s">
        <v>54</v>
      </c>
      <c r="M119" s="57" t="s">
        <v>49</v>
      </c>
      <c r="N119" s="57" t="s">
        <v>244</v>
      </c>
      <c r="O119"/>
      <c r="P119" s="13" t="s">
        <v>45</v>
      </c>
    </row>
    <row r="120" spans="1:19" ht="14.4" x14ac:dyDescent="0.3">
      <c r="A120">
        <v>115</v>
      </c>
      <c r="B120" s="57" t="s">
        <v>179</v>
      </c>
      <c r="C120" s="57" t="s">
        <v>193</v>
      </c>
      <c r="D120" s="57" t="s">
        <v>202</v>
      </c>
      <c r="E120" s="57" t="s">
        <v>214</v>
      </c>
      <c r="F120" s="57" t="s">
        <v>12</v>
      </c>
      <c r="G120" s="57" t="s">
        <v>13</v>
      </c>
      <c r="H120" s="57" t="s">
        <v>51</v>
      </c>
      <c r="I120" s="57" t="s">
        <v>223</v>
      </c>
      <c r="J120" s="57" t="s">
        <v>228</v>
      </c>
      <c r="K120" s="57" t="s">
        <v>227</v>
      </c>
      <c r="L120" s="57" t="s">
        <v>54</v>
      </c>
      <c r="M120" s="57" t="s">
        <v>49</v>
      </c>
      <c r="N120" s="57" t="s">
        <v>244</v>
      </c>
      <c r="O120"/>
      <c r="P120" s="13" t="s">
        <v>45</v>
      </c>
      <c r="Q120" s="13"/>
      <c r="R120" s="13"/>
      <c r="S120" s="13"/>
    </row>
    <row r="121" spans="1:19" ht="14.4" x14ac:dyDescent="0.3">
      <c r="A121">
        <v>116</v>
      </c>
      <c r="B121" s="57" t="s">
        <v>180</v>
      </c>
      <c r="C121" s="57" t="s">
        <v>193</v>
      </c>
      <c r="D121" s="57" t="s">
        <v>202</v>
      </c>
      <c r="E121" s="57" t="s">
        <v>214</v>
      </c>
      <c r="F121" s="57" t="s">
        <v>12</v>
      </c>
      <c r="G121" s="57" t="s">
        <v>38</v>
      </c>
      <c r="H121" s="57" t="s">
        <v>51</v>
      </c>
      <c r="I121" s="57" t="s">
        <v>229</v>
      </c>
      <c r="J121" s="57" t="s">
        <v>222</v>
      </c>
      <c r="K121" s="57" t="s">
        <v>224</v>
      </c>
      <c r="L121" s="57" t="s">
        <v>54</v>
      </c>
      <c r="M121" s="57" t="s">
        <v>49</v>
      </c>
      <c r="N121" s="57" t="s">
        <v>237</v>
      </c>
      <c r="O121"/>
      <c r="P121" s="13" t="s">
        <v>45</v>
      </c>
      <c r="Q121" s="13"/>
      <c r="R121" s="13"/>
      <c r="S121" s="13"/>
    </row>
    <row r="122" spans="1:19" ht="14.4" x14ac:dyDescent="0.3">
      <c r="A122">
        <v>117</v>
      </c>
      <c r="B122" s="57" t="s">
        <v>181</v>
      </c>
      <c r="C122" s="57" t="s">
        <v>193</v>
      </c>
      <c r="D122" s="57" t="s">
        <v>202</v>
      </c>
      <c r="E122" s="57" t="s">
        <v>214</v>
      </c>
      <c r="F122" s="57" t="s">
        <v>12</v>
      </c>
      <c r="G122" s="57" t="s">
        <v>38</v>
      </c>
      <c r="H122" s="57" t="s">
        <v>51</v>
      </c>
      <c r="I122" s="57" t="s">
        <v>222</v>
      </c>
      <c r="J122" s="57" t="s">
        <v>228</v>
      </c>
      <c r="K122" s="57" t="s">
        <v>225</v>
      </c>
      <c r="L122" s="57" t="s">
        <v>54</v>
      </c>
      <c r="M122" s="57" t="s">
        <v>49</v>
      </c>
      <c r="N122" s="57" t="s">
        <v>241</v>
      </c>
      <c r="O122"/>
      <c r="P122" s="13" t="s">
        <v>45</v>
      </c>
      <c r="Q122" s="13"/>
      <c r="R122" s="13"/>
      <c r="S122" s="13"/>
    </row>
    <row r="123" spans="1:19" ht="14.4" x14ac:dyDescent="0.3">
      <c r="A123">
        <v>118</v>
      </c>
      <c r="B123" s="57" t="s">
        <v>182</v>
      </c>
      <c r="C123" s="57" t="s">
        <v>193</v>
      </c>
      <c r="D123" s="57" t="s">
        <v>202</v>
      </c>
      <c r="E123" s="57" t="s">
        <v>214</v>
      </c>
      <c r="F123" s="57" t="s">
        <v>14</v>
      </c>
      <c r="G123" s="57" t="s">
        <v>15</v>
      </c>
      <c r="H123" s="57" t="s">
        <v>51</v>
      </c>
      <c r="I123" s="57" t="s">
        <v>229</v>
      </c>
      <c r="J123" s="57" t="s">
        <v>222</v>
      </c>
      <c r="K123" s="57" t="s">
        <v>225</v>
      </c>
      <c r="L123" s="57" t="s">
        <v>54</v>
      </c>
      <c r="M123" s="57" t="s">
        <v>49</v>
      </c>
      <c r="N123" s="57" t="s">
        <v>247</v>
      </c>
      <c r="O123"/>
      <c r="P123" s="13" t="s">
        <v>45</v>
      </c>
      <c r="Q123" s="13"/>
      <c r="R123" s="13"/>
      <c r="S123" s="13"/>
    </row>
    <row r="124" spans="1:19" ht="14.4" x14ac:dyDescent="0.3">
      <c r="A124">
        <v>119</v>
      </c>
      <c r="B124" s="57" t="s">
        <v>183</v>
      </c>
      <c r="C124" s="57" t="s">
        <v>193</v>
      </c>
      <c r="D124" s="57" t="s">
        <v>202</v>
      </c>
      <c r="E124" s="57" t="s">
        <v>214</v>
      </c>
      <c r="F124" s="57" t="s">
        <v>12</v>
      </c>
      <c r="G124" s="57" t="s">
        <v>38</v>
      </c>
      <c r="H124" s="57" t="s">
        <v>51</v>
      </c>
      <c r="I124" s="57" t="s">
        <v>229</v>
      </c>
      <c r="J124" s="57" t="s">
        <v>229</v>
      </c>
      <c r="K124" s="57" t="s">
        <v>228</v>
      </c>
      <c r="L124" s="57" t="s">
        <v>54</v>
      </c>
      <c r="M124" s="57" t="s">
        <v>49</v>
      </c>
      <c r="N124" s="57" t="s">
        <v>232</v>
      </c>
      <c r="O124"/>
      <c r="P124" s="13" t="s">
        <v>45</v>
      </c>
      <c r="Q124" s="13"/>
      <c r="R124" s="13"/>
      <c r="S124" s="13"/>
    </row>
    <row r="125" spans="1:19" ht="14.4" x14ac:dyDescent="0.3">
      <c r="A125">
        <v>120</v>
      </c>
      <c r="B125" s="57" t="s">
        <v>184</v>
      </c>
      <c r="C125" s="57" t="s">
        <v>193</v>
      </c>
      <c r="D125" s="57" t="s">
        <v>202</v>
      </c>
      <c r="E125" s="57" t="s">
        <v>214</v>
      </c>
      <c r="F125" s="57" t="s">
        <v>12</v>
      </c>
      <c r="G125" s="57" t="s">
        <v>13</v>
      </c>
      <c r="H125" s="57" t="s">
        <v>46</v>
      </c>
      <c r="I125" s="57" t="s">
        <v>221</v>
      </c>
      <c r="J125" s="57" t="s">
        <v>221</v>
      </c>
      <c r="K125" s="57" t="s">
        <v>223</v>
      </c>
      <c r="L125" s="57" t="s">
        <v>54</v>
      </c>
      <c r="M125" s="57" t="s">
        <v>49</v>
      </c>
      <c r="N125" s="57" t="s">
        <v>243</v>
      </c>
      <c r="O125"/>
      <c r="P125" s="13" t="s">
        <v>45</v>
      </c>
      <c r="Q125" s="13"/>
      <c r="R125" s="13"/>
      <c r="S125" s="13"/>
    </row>
    <row r="126" spans="1:19" ht="14.4" x14ac:dyDescent="0.3">
      <c r="A126">
        <v>121</v>
      </c>
      <c r="B126" s="57" t="s">
        <v>185</v>
      </c>
      <c r="C126" s="57" t="s">
        <v>193</v>
      </c>
      <c r="D126" s="57" t="s">
        <v>202</v>
      </c>
      <c r="E126" s="57" t="s">
        <v>214</v>
      </c>
      <c r="F126" s="57" t="s">
        <v>12</v>
      </c>
      <c r="G126" s="57" t="s">
        <v>13</v>
      </c>
      <c r="H126" s="57" t="s">
        <v>51</v>
      </c>
      <c r="I126" s="57" t="s">
        <v>228</v>
      </c>
      <c r="J126" s="57" t="s">
        <v>225</v>
      </c>
      <c r="K126" s="57" t="s">
        <v>227</v>
      </c>
      <c r="L126" s="57" t="s">
        <v>54</v>
      </c>
      <c r="M126" s="57" t="s">
        <v>49</v>
      </c>
      <c r="N126" s="57" t="s">
        <v>248</v>
      </c>
      <c r="O126"/>
      <c r="P126" s="13" t="s">
        <v>45</v>
      </c>
      <c r="Q126" s="13"/>
      <c r="R126" s="13"/>
      <c r="S126" s="13"/>
    </row>
    <row r="127" spans="1:19" ht="15" customHeight="1" x14ac:dyDescent="0.25">
      <c r="A127" s="57"/>
      <c r="B127" s="58"/>
      <c r="C127" s="58"/>
      <c r="D127" s="58"/>
      <c r="E127" s="58"/>
      <c r="F127" s="59"/>
      <c r="G127" s="58"/>
      <c r="H127" s="60"/>
      <c r="I127" s="63"/>
      <c r="J127" s="61"/>
      <c r="K127" s="61"/>
      <c r="L127" s="64"/>
      <c r="M127" s="62"/>
      <c r="N127" s="62"/>
      <c r="O127" s="58"/>
      <c r="P127" s="13"/>
    </row>
    <row r="128" spans="1:19" ht="15" customHeight="1" x14ac:dyDescent="0.25">
      <c r="A128" s="57"/>
      <c r="B128" s="58"/>
      <c r="C128" s="58"/>
      <c r="D128" s="58"/>
      <c r="E128" s="58"/>
      <c r="F128" s="59"/>
      <c r="G128" s="58"/>
      <c r="H128" s="60"/>
      <c r="I128" s="63"/>
      <c r="J128" s="61"/>
      <c r="K128" s="61"/>
      <c r="L128" s="63"/>
      <c r="M128" s="62"/>
      <c r="N128" s="62"/>
      <c r="O128" s="58"/>
      <c r="P128" s="13"/>
    </row>
    <row r="129" spans="1:16" ht="15" customHeight="1" x14ac:dyDescent="0.25">
      <c r="A129" s="57"/>
      <c r="B129" s="58"/>
      <c r="C129" s="58"/>
      <c r="D129" s="58"/>
      <c r="E129" s="58"/>
      <c r="F129" s="59"/>
      <c r="G129" s="58"/>
      <c r="H129" s="60"/>
      <c r="I129" s="63"/>
      <c r="J129" s="61"/>
      <c r="K129" s="61"/>
      <c r="L129" s="64"/>
      <c r="M129" s="62"/>
      <c r="N129" s="62"/>
      <c r="O129" s="58"/>
      <c r="P129" s="13"/>
    </row>
    <row r="130" spans="1:16" ht="15" customHeight="1" x14ac:dyDescent="0.25">
      <c r="A130" s="57"/>
      <c r="B130" s="58"/>
      <c r="C130" s="58"/>
      <c r="D130" s="58"/>
      <c r="E130" s="58"/>
      <c r="F130" s="59"/>
      <c r="G130" s="58"/>
      <c r="H130" s="60"/>
      <c r="I130" s="63"/>
      <c r="J130" s="61"/>
      <c r="K130" s="61"/>
      <c r="L130" s="63"/>
      <c r="M130" s="62"/>
      <c r="N130" s="62"/>
      <c r="O130" s="58"/>
      <c r="P130" s="13"/>
    </row>
    <row r="131" spans="1:16" ht="15" customHeight="1" x14ac:dyDescent="0.25">
      <c r="A131" s="57"/>
      <c r="B131" s="58"/>
      <c r="C131" s="58"/>
      <c r="D131" s="58"/>
      <c r="E131" s="58"/>
      <c r="F131" s="59"/>
      <c r="G131" s="58"/>
      <c r="H131" s="60"/>
      <c r="I131" s="63"/>
      <c r="J131" s="61"/>
      <c r="K131" s="61"/>
      <c r="L131" s="63"/>
      <c r="M131" s="62"/>
      <c r="N131" s="62"/>
      <c r="O131" s="58"/>
      <c r="P131" s="13"/>
    </row>
    <row r="132" spans="1:16" ht="15" customHeight="1" x14ac:dyDescent="0.25">
      <c r="A132" s="57"/>
      <c r="B132" s="58"/>
      <c r="C132" s="58"/>
      <c r="D132" s="58"/>
      <c r="E132" s="58"/>
      <c r="F132" s="59"/>
      <c r="G132" s="58"/>
      <c r="H132" s="60"/>
      <c r="I132" s="63"/>
      <c r="J132" s="61"/>
      <c r="K132" s="61"/>
      <c r="L132" s="64"/>
      <c r="M132" s="62"/>
      <c r="N132" s="62"/>
      <c r="O132" s="58"/>
      <c r="P132" s="13"/>
    </row>
    <row r="133" spans="1:16" ht="15" customHeight="1" x14ac:dyDescent="0.25">
      <c r="A133" s="57"/>
      <c r="B133" s="58"/>
      <c r="C133" s="58"/>
      <c r="D133" s="58"/>
      <c r="E133" s="58"/>
      <c r="F133" s="59"/>
      <c r="G133" s="58"/>
      <c r="H133" s="60"/>
      <c r="I133" s="63"/>
      <c r="J133" s="61"/>
      <c r="K133" s="61"/>
      <c r="L133" s="64"/>
      <c r="M133" s="62"/>
      <c r="N133" s="62"/>
      <c r="O133" s="58"/>
      <c r="P133" s="13"/>
    </row>
    <row r="134" spans="1:16" ht="15" customHeight="1" x14ac:dyDescent="0.25">
      <c r="A134" s="57"/>
      <c r="B134" s="58"/>
      <c r="C134" s="58"/>
      <c r="D134" s="58"/>
      <c r="E134" s="58"/>
      <c r="F134" s="59"/>
      <c r="G134" s="58"/>
      <c r="H134" s="60"/>
      <c r="I134" s="61"/>
      <c r="J134" s="61"/>
      <c r="K134" s="61"/>
      <c r="L134" s="64"/>
      <c r="M134" s="62"/>
      <c r="N134" s="62"/>
      <c r="O134" s="58"/>
      <c r="P134" s="13"/>
    </row>
    <row r="135" spans="1:16" ht="15" customHeight="1" x14ac:dyDescent="0.25">
      <c r="A135" s="57"/>
      <c r="B135" s="58"/>
      <c r="C135" s="58"/>
      <c r="D135" s="58"/>
      <c r="E135" s="58"/>
      <c r="F135" s="59"/>
      <c r="G135" s="58"/>
      <c r="H135" s="60"/>
      <c r="I135" s="61"/>
      <c r="J135" s="61"/>
      <c r="K135" s="61"/>
      <c r="L135" s="64"/>
      <c r="M135" s="62"/>
      <c r="N135" s="62"/>
      <c r="O135" s="58"/>
      <c r="P135" s="13"/>
    </row>
    <row r="136" spans="1:16" ht="15" customHeight="1" x14ac:dyDescent="0.25">
      <c r="A136" s="57"/>
      <c r="B136" s="58"/>
      <c r="C136" s="58"/>
      <c r="D136" s="58"/>
      <c r="E136" s="58"/>
      <c r="F136" s="59"/>
      <c r="G136" s="58"/>
      <c r="H136" s="60"/>
      <c r="I136" s="61"/>
      <c r="J136" s="61"/>
      <c r="K136" s="61"/>
      <c r="L136" s="64"/>
      <c r="M136" s="62"/>
      <c r="N136" s="62"/>
      <c r="O136" s="58"/>
      <c r="P136" s="13"/>
    </row>
    <row r="137" spans="1:16" ht="15" customHeight="1" x14ac:dyDescent="0.25">
      <c r="A137" s="57"/>
      <c r="B137" s="58"/>
      <c r="C137" s="58"/>
      <c r="D137" s="58"/>
      <c r="E137" s="58"/>
      <c r="F137" s="59"/>
      <c r="G137" s="58"/>
      <c r="H137" s="60"/>
      <c r="I137" s="61"/>
      <c r="J137" s="61"/>
      <c r="K137" s="61"/>
      <c r="L137" s="64"/>
      <c r="M137" s="62"/>
      <c r="N137" s="62"/>
      <c r="O137" s="58"/>
      <c r="P137" s="13"/>
    </row>
    <row r="138" spans="1:16" ht="15" customHeight="1" x14ac:dyDescent="0.25">
      <c r="A138" s="57"/>
      <c r="B138" s="58"/>
      <c r="C138" s="58"/>
      <c r="D138" s="58"/>
      <c r="E138" s="58"/>
      <c r="F138" s="59"/>
      <c r="G138" s="58"/>
      <c r="H138" s="60"/>
      <c r="I138" s="61"/>
      <c r="J138" s="61"/>
      <c r="K138" s="61"/>
      <c r="L138" s="64"/>
      <c r="M138" s="62"/>
      <c r="N138" s="62"/>
      <c r="O138" s="58"/>
      <c r="P138" s="13"/>
    </row>
    <row r="139" spans="1:16" ht="15" customHeight="1" x14ac:dyDescent="0.25">
      <c r="A139" s="57"/>
      <c r="B139" s="58"/>
      <c r="C139" s="58"/>
      <c r="D139" s="58"/>
      <c r="E139" s="58"/>
      <c r="F139" s="59"/>
      <c r="G139" s="58"/>
      <c r="H139" s="60"/>
      <c r="I139" s="63"/>
      <c r="J139" s="63"/>
      <c r="K139" s="63"/>
      <c r="L139" s="64"/>
      <c r="M139" s="62"/>
      <c r="N139" s="62"/>
      <c r="O139" s="58"/>
      <c r="P139" s="13"/>
    </row>
    <row r="140" spans="1:16" ht="15" customHeight="1" x14ac:dyDescent="0.25">
      <c r="A140" s="57"/>
      <c r="B140" s="58"/>
      <c r="C140" s="58"/>
      <c r="D140" s="58"/>
      <c r="E140" s="58"/>
      <c r="F140" s="59"/>
      <c r="G140" s="58"/>
      <c r="H140" s="60"/>
      <c r="I140" s="61"/>
      <c r="J140" s="61"/>
      <c r="K140" s="61"/>
      <c r="L140" s="64"/>
      <c r="M140" s="62"/>
      <c r="N140" s="62"/>
      <c r="O140" s="58"/>
      <c r="P140" s="13"/>
    </row>
    <row r="141" spans="1:16" ht="15" customHeight="1" x14ac:dyDescent="0.25">
      <c r="A141" s="57"/>
      <c r="B141" s="58"/>
      <c r="C141" s="58"/>
      <c r="D141" s="58"/>
      <c r="E141" s="58"/>
      <c r="F141" s="59"/>
      <c r="G141" s="58"/>
      <c r="H141" s="60"/>
      <c r="I141" s="61"/>
      <c r="J141" s="61"/>
      <c r="K141" s="61"/>
      <c r="L141" s="64"/>
      <c r="M141" s="62"/>
      <c r="N141" s="62"/>
      <c r="O141" s="58"/>
      <c r="P141" s="13"/>
    </row>
    <row r="142" spans="1:16" ht="15" customHeight="1" x14ac:dyDescent="0.25">
      <c r="A142" s="57"/>
      <c r="B142" s="58"/>
      <c r="C142" s="58"/>
      <c r="D142" s="58"/>
      <c r="E142" s="58"/>
      <c r="F142" s="59"/>
      <c r="G142" s="58"/>
      <c r="H142" s="60"/>
      <c r="I142" s="61"/>
      <c r="J142" s="61"/>
      <c r="K142" s="61"/>
      <c r="L142" s="63"/>
      <c r="M142" s="62"/>
      <c r="N142" s="62"/>
      <c r="O142" s="58"/>
      <c r="P142" s="13"/>
    </row>
  </sheetData>
  <dataValidations count="2">
    <dataValidation allowBlank="1" showInputMessage="1" showErrorMessage="1" prompt="Write  the path of sharepoint directory &amp; add &quot;/&quot; at the end._x000a_(The above path is path of that folder which will contain 7 subfolders) _x000a_Also make sure that you have created 7 subfolders specifying partner group name manually on sharepoint within the folder" sqref="J2" xr:uid="{00000000-0002-0000-0100-000000000000}"/>
    <dataValidation allowBlank="1" showInputMessage="1" showErrorMessage="1" prompt="Write the path of local directory of folder where 7 Subfolders will create automatically_x000a_(DON'T add &quot;\&quot; at the end)" sqref="J1" xr:uid="{00000000-0002-0000-0100-000001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main">
                <anchor moveWithCells="1" sizeWithCells="1">
                  <from>
                    <xdr:col>7</xdr:col>
                    <xdr:colOff>396240</xdr:colOff>
                    <xdr:row>0</xdr:row>
                    <xdr:rowOff>175260</xdr:rowOff>
                  </from>
                  <to>
                    <xdr:col>8</xdr:col>
                    <xdr:colOff>579120</xdr:colOff>
                    <xdr:row>2</xdr:row>
                    <xdr:rowOff>15240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100-000002000000}">
          <x14:formula1>
            <xm:f>'Data validation'!$A$4:$A$10</xm:f>
          </x14:formula1>
          <xm:sqref>G4 G6:G142</xm:sqref>
        </x14:dataValidation>
        <x14:dataValidation type="list" allowBlank="1" showInputMessage="1" showErrorMessage="1" errorTitle="Error" error="Select from the list" prompt="If ITAC is not applicable then select NA Only._x000a_If ITAC is applicable &amp; not started then select Not Started only._x000a_If ITAC is applicable &amp; Started then select relevant steps other than NA,Not started." xr:uid="{00000000-0002-0000-0100-000004000000}">
          <x14:formula1>
            <xm:f>'Data validation'!$K$4:$K$12</xm:f>
          </x14:formula1>
          <xm:sqref>J127:J142</xm:sqref>
        </x14:dataValidation>
        <x14:dataValidation type="list" allowBlank="1" showInputMessage="1" showErrorMessage="1" errorTitle="Error" error="Select from the list" prompt="If IPE is not applicable then select NA Only._x000a_If IPE is applicable &amp; not started then select Not Started only._x000a_If IPE is applicable &amp; Started then select relevant steps other than NA,Not started." xr:uid="{00000000-0002-0000-0100-000005000000}">
          <x14:formula1>
            <xm:f>'Data validation'!$M$4:$M$12</xm:f>
          </x14:formula1>
          <xm:sqref>K127:K142</xm:sqref>
        </x14:dataValidation>
        <x14:dataValidation type="list" allowBlank="1" showInputMessage="1" showErrorMessage="1" xr:uid="{00000000-0002-0000-0100-000006000000}">
          <x14:formula1>
            <xm:f>'Data validation'!$C$4:$C$6</xm:f>
          </x14:formula1>
          <xm:sqref>H1:H142</xm:sqref>
        </x14:dataValidation>
        <x14:dataValidation type="list" allowBlank="1" showInputMessage="1" showErrorMessage="1" xr:uid="{00000000-0002-0000-0100-000007000000}">
          <x14:formula1>
            <xm:f>'Data validation'!$E$4:$E$6</xm:f>
          </x14:formula1>
          <xm:sqref>F6:F142</xm:sqref>
        </x14:dataValidation>
        <x14:dataValidation type="list" allowBlank="1" showInputMessage="1" showErrorMessage="1" errorTitle="Error" error="Select from the list" xr:uid="{652CC4B9-3FDD-4995-BDCB-D640008B9EAF}">
          <x14:formula1>
            <xm:f>'Data validation'!$K$4:$K$12</xm:f>
          </x14:formula1>
          <xm:sqref>J6:J126</xm:sqref>
        </x14:dataValidation>
        <x14:dataValidation type="list" allowBlank="1" showInputMessage="1" showErrorMessage="1" errorTitle="Error" error="Select from the list" xr:uid="{D5CA6A31-45BF-466E-9A70-D1CEEBF23C06}">
          <x14:formula1>
            <xm:f>'Data validation'!$M$4:$M$12</xm:f>
          </x14:formula1>
          <xm:sqref>K6:K126</xm:sqref>
        </x14:dataValidation>
        <x14:dataValidation type="list" allowBlank="1" showInputMessage="1" showErrorMessage="1" errorTitle="Error" error="Select from the list" prompt="If ITGC is not applicable then select NA Only._x000a_If ITGC is applicable &amp; not started then select Not Started only._x000a_If ITGC is applicable &amp; Started then select relevant steps other than NA,Not started." xr:uid="{00000000-0002-0000-0100-000003000000}">
          <x14:formula1>
            <xm:f>'Data validation'!$I$4:$I$12</xm:f>
          </x14:formula1>
          <xm:sqref>I127:I142</xm:sqref>
        </x14:dataValidation>
        <x14:dataValidation type="list" allowBlank="1" showInputMessage="1" showErrorMessage="1" errorTitle="Error" error="Select from the list" xr:uid="{84941659-FE5E-4EBD-AD32-F12705CF8B4A}">
          <x14:formula1>
            <xm:f>'Data validation'!$I$4:$I$12</xm:f>
          </x14:formula1>
          <xm:sqref>I6:I126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AC53"/>
  <sheetViews>
    <sheetView showGridLines="0" view="pageBreakPreview" topLeftCell="H1" zoomScale="106" zoomScaleNormal="100" zoomScaleSheetLayoutView="100" workbookViewId="0">
      <selection activeCell="N6" sqref="N6"/>
    </sheetView>
  </sheetViews>
  <sheetFormatPr defaultRowHeight="14.4" x14ac:dyDescent="0.3"/>
  <cols>
    <col min="1" max="1" width="1.33203125" customWidth="1"/>
    <col min="2" max="2" width="9.109375" customWidth="1"/>
    <col min="4" max="4" width="11.44140625" bestFit="1" customWidth="1"/>
    <col min="5" max="5" width="10.44140625" bestFit="1" customWidth="1"/>
    <col min="10" max="10" width="9.109375" customWidth="1"/>
    <col min="11" max="11" width="1.33203125" customWidth="1"/>
    <col min="12" max="12" width="12.109375" bestFit="1" customWidth="1"/>
    <col min="13" max="13" width="11.44140625" customWidth="1"/>
    <col min="25" max="25" width="14.6640625" customWidth="1"/>
    <col min="26" max="26" width="4.33203125" customWidth="1"/>
    <col min="27" max="27" width="5.5546875" customWidth="1"/>
  </cols>
  <sheetData>
    <row r="1" spans="1:28" x14ac:dyDescent="0.3">
      <c r="A1" s="42"/>
      <c r="B1" s="43"/>
      <c r="C1" s="43"/>
      <c r="D1" s="43"/>
      <c r="E1" s="43"/>
      <c r="F1" s="43"/>
      <c r="G1" s="43"/>
      <c r="H1" s="43"/>
      <c r="I1" s="43"/>
      <c r="J1" s="43"/>
      <c r="K1" s="44"/>
    </row>
    <row r="2" spans="1:28" x14ac:dyDescent="0.3">
      <c r="A2" s="45"/>
      <c r="B2" t="s">
        <v>255</v>
      </c>
      <c r="F2" s="95" t="s">
        <v>257</v>
      </c>
      <c r="G2" s="95"/>
      <c r="H2" s="95"/>
      <c r="I2" s="95"/>
      <c r="J2" s="95"/>
      <c r="K2" s="46"/>
    </row>
    <row r="3" spans="1:28" x14ac:dyDescent="0.3">
      <c r="A3" s="45"/>
      <c r="F3" s="95"/>
      <c r="G3" s="95"/>
      <c r="H3" s="95"/>
      <c r="I3" s="95"/>
      <c r="J3" s="95"/>
      <c r="K3" s="46"/>
      <c r="M3" s="96"/>
      <c r="N3" s="96"/>
      <c r="O3" s="96"/>
      <c r="P3" s="96"/>
      <c r="Q3" s="96"/>
      <c r="R3" s="16"/>
      <c r="S3" s="16"/>
      <c r="T3" s="16"/>
      <c r="U3" s="16"/>
      <c r="V3" s="16"/>
      <c r="W3" s="16"/>
    </row>
    <row r="4" spans="1:28" ht="15.6" x14ac:dyDescent="0.3">
      <c r="A4" s="45"/>
      <c r="I4" s="97" t="s">
        <v>256</v>
      </c>
      <c r="J4" s="97"/>
      <c r="K4" s="46"/>
      <c r="L4" s="25"/>
      <c r="M4" s="96"/>
      <c r="N4" s="96"/>
      <c r="O4" s="96"/>
      <c r="P4" s="96"/>
      <c r="Q4" s="96"/>
      <c r="R4" s="16"/>
      <c r="S4" s="16"/>
      <c r="T4" s="16"/>
      <c r="U4" s="16"/>
      <c r="V4" s="16"/>
      <c r="W4" s="16"/>
    </row>
    <row r="5" spans="1:28" x14ac:dyDescent="0.3">
      <c r="A5" s="45"/>
      <c r="I5" s="41"/>
      <c r="J5" s="41"/>
      <c r="K5" s="46"/>
      <c r="L5" s="96" t="s">
        <v>30</v>
      </c>
      <c r="M5" s="96"/>
      <c r="N5" s="98" t="s">
        <v>261</v>
      </c>
      <c r="O5" s="99"/>
      <c r="P5" s="99"/>
      <c r="Q5" s="99"/>
      <c r="R5" s="99"/>
      <c r="S5" s="99"/>
      <c r="T5" s="99"/>
      <c r="U5" s="99"/>
      <c r="V5" s="99"/>
      <c r="W5" s="99"/>
      <c r="X5" s="99"/>
      <c r="Y5" s="99"/>
      <c r="Z5" s="99"/>
      <c r="AA5" s="99"/>
      <c r="AB5" s="99"/>
    </row>
    <row r="6" spans="1:28" ht="18" x14ac:dyDescent="0.35">
      <c r="A6" s="45"/>
      <c r="C6" s="94" t="s">
        <v>258</v>
      </c>
      <c r="D6" s="94"/>
      <c r="E6" s="94"/>
      <c r="F6" s="94"/>
      <c r="G6" s="94"/>
      <c r="H6" s="94"/>
      <c r="I6" s="94"/>
      <c r="J6" s="41"/>
      <c r="K6" s="46"/>
      <c r="N6" s="27"/>
    </row>
    <row r="7" spans="1:28" x14ac:dyDescent="0.3">
      <c r="A7" s="45"/>
      <c r="B7" t="s">
        <v>35</v>
      </c>
      <c r="D7" s="56">
        <v>44922.691134259258</v>
      </c>
      <c r="K7" s="46"/>
    </row>
    <row r="8" spans="1:28" ht="21" x14ac:dyDescent="0.4">
      <c r="A8" s="45"/>
      <c r="B8" s="25" t="s">
        <v>32</v>
      </c>
      <c r="C8" s="25"/>
      <c r="D8" s="54" t="str">
        <f>IF(COUNTA('Pivot 1(Slicer)'!A4:A154)=2,'Pivot 1(Slicer)'!A4,"")</f>
        <v/>
      </c>
      <c r="E8" s="23"/>
      <c r="F8" s="23"/>
      <c r="K8" s="46"/>
    </row>
    <row r="9" spans="1:28" ht="21" x14ac:dyDescent="0.4">
      <c r="A9" s="45"/>
      <c r="B9" s="25" t="s">
        <v>29</v>
      </c>
      <c r="C9" s="25"/>
      <c r="D9" s="55" t="str">
        <f>IF(COUNTA('Pivot 1(Slicer)'!A4:A154)=2,"2022-23","")</f>
        <v/>
      </c>
      <c r="E9" s="24"/>
      <c r="F9" s="23"/>
      <c r="K9" s="46"/>
    </row>
    <row r="10" spans="1:28" x14ac:dyDescent="0.3">
      <c r="A10" s="45"/>
      <c r="B10" s="17"/>
      <c r="C10" s="17"/>
      <c r="D10" s="17"/>
      <c r="E10" s="17"/>
      <c r="F10" s="17"/>
      <c r="G10" s="17"/>
      <c r="H10" s="17"/>
      <c r="I10" s="17"/>
      <c r="J10" s="17"/>
      <c r="K10" s="46"/>
    </row>
    <row r="11" spans="1:28" x14ac:dyDescent="0.3">
      <c r="A11" s="45"/>
      <c r="C11" s="53"/>
      <c r="D11" s="17"/>
      <c r="E11" s="17"/>
      <c r="F11" s="17"/>
      <c r="G11" s="17"/>
      <c r="H11" s="17"/>
      <c r="I11" s="17"/>
      <c r="J11" s="17"/>
      <c r="K11" s="46"/>
    </row>
    <row r="12" spans="1:28" ht="15" customHeight="1" x14ac:dyDescent="0.3">
      <c r="A12" s="45"/>
      <c r="H12" s="17"/>
      <c r="I12" s="17"/>
      <c r="J12" s="17"/>
      <c r="K12" s="46"/>
    </row>
    <row r="13" spans="1:28" ht="15" customHeight="1" x14ac:dyDescent="0.3">
      <c r="A13" s="45"/>
      <c r="H13" s="17"/>
      <c r="I13" s="17"/>
      <c r="J13" s="17"/>
      <c r="K13" s="46"/>
    </row>
    <row r="14" spans="1:28" x14ac:dyDescent="0.3">
      <c r="A14" s="45"/>
      <c r="H14" s="17"/>
      <c r="I14" s="17"/>
      <c r="J14" s="17"/>
      <c r="K14" s="46"/>
    </row>
    <row r="15" spans="1:28" ht="15" customHeight="1" x14ac:dyDescent="0.3">
      <c r="A15" s="45"/>
      <c r="H15" s="17"/>
      <c r="I15" s="17"/>
      <c r="J15" s="17"/>
      <c r="K15" s="46"/>
    </row>
    <row r="16" spans="1:28" ht="15" customHeight="1" x14ac:dyDescent="0.3">
      <c r="A16" s="45"/>
      <c r="B16" s="26"/>
      <c r="C16" s="26"/>
      <c r="D16" s="26"/>
      <c r="E16" s="26"/>
      <c r="F16" s="26"/>
      <c r="G16" s="26"/>
      <c r="H16" s="17"/>
      <c r="I16" s="17"/>
      <c r="J16" s="17"/>
      <c r="K16" s="46"/>
    </row>
    <row r="17" spans="1:29" x14ac:dyDescent="0.3">
      <c r="A17" s="45"/>
      <c r="B17" s="26"/>
      <c r="C17" s="26"/>
      <c r="D17" s="26"/>
      <c r="E17" s="26"/>
      <c r="F17" s="26"/>
      <c r="G17" s="26"/>
      <c r="H17" s="17"/>
      <c r="I17" s="17"/>
      <c r="J17" s="17"/>
      <c r="K17" s="46"/>
    </row>
    <row r="18" spans="1:29" ht="15" customHeight="1" x14ac:dyDescent="0.3">
      <c r="A18" s="45"/>
      <c r="H18" s="17"/>
      <c r="I18" s="17"/>
      <c r="J18" s="17"/>
      <c r="K18" s="46"/>
    </row>
    <row r="19" spans="1:29" ht="15" customHeight="1" x14ac:dyDescent="0.3">
      <c r="A19" s="45"/>
      <c r="H19" s="17"/>
      <c r="I19" s="17"/>
      <c r="J19" s="17"/>
      <c r="K19" s="46"/>
    </row>
    <row r="20" spans="1:29" x14ac:dyDescent="0.3">
      <c r="A20" s="45"/>
      <c r="C20" s="17"/>
      <c r="H20" s="17"/>
      <c r="I20" s="17"/>
      <c r="J20" s="17"/>
      <c r="K20" s="46"/>
    </row>
    <row r="21" spans="1:29" ht="15" customHeight="1" x14ac:dyDescent="0.3">
      <c r="A21" s="45"/>
      <c r="H21" s="17"/>
      <c r="I21" s="17"/>
      <c r="J21" s="17"/>
      <c r="K21" s="46"/>
    </row>
    <row r="22" spans="1:29" ht="15" customHeight="1" x14ac:dyDescent="0.3">
      <c r="A22" s="45"/>
      <c r="H22" s="17"/>
      <c r="I22" s="17"/>
      <c r="J22" s="17"/>
      <c r="K22" s="46"/>
    </row>
    <row r="23" spans="1:29" x14ac:dyDescent="0.3">
      <c r="A23" s="45"/>
      <c r="B23" s="51"/>
      <c r="C23" s="51"/>
      <c r="D23" s="51"/>
      <c r="E23" s="51"/>
      <c r="F23" s="51"/>
      <c r="G23" s="51"/>
      <c r="H23" s="51"/>
      <c r="I23" s="51"/>
      <c r="K23" s="46"/>
    </row>
    <row r="24" spans="1:29" x14ac:dyDescent="0.3">
      <c r="A24" s="45"/>
      <c r="B24" s="17"/>
      <c r="C24" s="17"/>
      <c r="D24" s="17"/>
      <c r="E24" s="17"/>
      <c r="F24" s="17"/>
      <c r="G24" s="17"/>
      <c r="H24" s="17"/>
      <c r="I24" s="17"/>
      <c r="K24" s="46"/>
      <c r="Y24" s="75"/>
      <c r="Z24" s="75"/>
      <c r="AA24" s="75"/>
      <c r="AB24" s="75"/>
      <c r="AC24" s="75"/>
    </row>
    <row r="25" spans="1:29" x14ac:dyDescent="0.3">
      <c r="A25" s="45"/>
      <c r="K25" s="46"/>
      <c r="M25" s="82"/>
      <c r="N25" s="82"/>
      <c r="Y25" s="75" t="s">
        <v>23</v>
      </c>
      <c r="Z25" s="75">
        <f>'Pivot 3(Line chart)'!P13</f>
        <v>26</v>
      </c>
      <c r="AA25" s="76">
        <f>IF(Z25&lt;&gt;0,Z25/$Z$29,#N/A)</f>
        <v>0.21487603305785125</v>
      </c>
      <c r="AB25" s="76">
        <f>IFERROR(AA25,"")</f>
        <v>0.21487603305785125</v>
      </c>
      <c r="AC25" s="75"/>
    </row>
    <row r="26" spans="1:29" x14ac:dyDescent="0.3">
      <c r="A26" s="45"/>
      <c r="K26" s="46"/>
      <c r="M26" s="92"/>
      <c r="N26" s="92"/>
      <c r="Y26" s="75" t="s">
        <v>45</v>
      </c>
      <c r="Z26" s="75">
        <f>'Pivot 3(Line chart)'!P16</f>
        <v>69</v>
      </c>
      <c r="AA26" s="76">
        <f t="shared" ref="AA26:AA28" si="0">IF(Z26&lt;&gt;0,Z26/$Z$29,#N/A)</f>
        <v>0.57024793388429751</v>
      </c>
      <c r="AB26" s="76">
        <f t="shared" ref="AB26:AB28" si="1">IFERROR(AA26,"")</f>
        <v>0.57024793388429751</v>
      </c>
      <c r="AC26" s="75"/>
    </row>
    <row r="27" spans="1:29" x14ac:dyDescent="0.3">
      <c r="A27" s="45"/>
      <c r="K27" s="46"/>
      <c r="M27" s="82"/>
      <c r="N27" s="82"/>
      <c r="Y27" s="75" t="s">
        <v>40</v>
      </c>
      <c r="Z27" s="75">
        <f>'Pivot 3(Line chart)'!P14</f>
        <v>11</v>
      </c>
      <c r="AA27" s="76">
        <f t="shared" si="0"/>
        <v>9.0909090909090912E-2</v>
      </c>
      <c r="AB27" s="76">
        <f t="shared" si="1"/>
        <v>9.0909090909090912E-2</v>
      </c>
      <c r="AC27" s="75"/>
    </row>
    <row r="28" spans="1:29" x14ac:dyDescent="0.3">
      <c r="A28" s="45"/>
      <c r="K28" s="46"/>
      <c r="M28" s="92"/>
      <c r="N28" s="92"/>
      <c r="Y28" s="75" t="s">
        <v>22</v>
      </c>
      <c r="Z28" s="75">
        <f>'Pivot 3(Line chart)'!P15</f>
        <v>15</v>
      </c>
      <c r="AA28" s="76">
        <f t="shared" si="0"/>
        <v>0.12396694214876033</v>
      </c>
      <c r="AB28" s="76">
        <f t="shared" si="1"/>
        <v>0.12396694214876033</v>
      </c>
      <c r="AC28" s="75"/>
    </row>
    <row r="29" spans="1:29" ht="15" customHeight="1" x14ac:dyDescent="0.3">
      <c r="A29" s="45"/>
      <c r="K29" s="46"/>
      <c r="M29" s="82"/>
      <c r="N29" s="82"/>
      <c r="Y29" s="75"/>
      <c r="Z29" s="75">
        <f>SUM(Z25:Z28)</f>
        <v>121</v>
      </c>
      <c r="AA29" s="77">
        <f>SUM(AA25:AA28)</f>
        <v>1</v>
      </c>
      <c r="AB29" s="75"/>
      <c r="AC29" s="75"/>
    </row>
    <row r="30" spans="1:29" ht="15" customHeight="1" x14ac:dyDescent="0.3">
      <c r="A30" s="45"/>
      <c r="K30" s="46"/>
      <c r="M30" s="92"/>
      <c r="N30" s="92"/>
      <c r="Y30" s="75"/>
      <c r="Z30" s="75"/>
      <c r="AA30" s="75"/>
      <c r="AB30" s="75"/>
      <c r="AC30" s="75"/>
    </row>
    <row r="31" spans="1:29" x14ac:dyDescent="0.3">
      <c r="A31" s="45"/>
      <c r="K31" s="46"/>
      <c r="M31" s="82"/>
      <c r="N31" s="82"/>
      <c r="Y31" s="75"/>
      <c r="Z31" s="75"/>
      <c r="AA31" s="75"/>
      <c r="AB31" s="75"/>
      <c r="AC31" s="75"/>
    </row>
    <row r="32" spans="1:29" x14ac:dyDescent="0.3">
      <c r="A32" s="45"/>
      <c r="B32" s="17"/>
      <c r="C32" s="17"/>
      <c r="D32" s="17"/>
      <c r="E32" s="17"/>
      <c r="F32" s="17"/>
      <c r="G32" s="17"/>
      <c r="K32" s="46"/>
      <c r="M32" s="92"/>
      <c r="N32" s="92"/>
      <c r="Y32" s="75"/>
      <c r="Z32" s="75"/>
      <c r="AA32" s="75"/>
      <c r="AB32" s="75"/>
      <c r="AC32" s="75"/>
    </row>
    <row r="33" spans="1:29" x14ac:dyDescent="0.3">
      <c r="A33" s="45"/>
      <c r="B33" s="17"/>
      <c r="C33" s="17"/>
      <c r="D33" s="17"/>
      <c r="E33" s="17"/>
      <c r="F33" s="17"/>
      <c r="G33" s="17"/>
      <c r="H33" s="17"/>
      <c r="I33" s="17"/>
      <c r="K33" s="46"/>
      <c r="Y33" s="75" t="s">
        <v>23</v>
      </c>
      <c r="Z33" s="75">
        <f>'Pivot 3(Line chart)'!Q13</f>
        <v>16</v>
      </c>
      <c r="AA33" s="76">
        <f>IF(Z33&lt;&gt;0,Z33/$Z$37,#N/A)</f>
        <v>0.13223140495867769</v>
      </c>
      <c r="AB33" s="76">
        <f t="shared" ref="AB33:AB36" si="2">IFERROR(AA33,"")</f>
        <v>0.13223140495867769</v>
      </c>
      <c r="AC33" s="75"/>
    </row>
    <row r="34" spans="1:29" x14ac:dyDescent="0.3">
      <c r="A34" s="45"/>
      <c r="K34" s="46"/>
      <c r="M34" s="82"/>
      <c r="N34" s="82"/>
      <c r="Y34" s="75" t="s">
        <v>45</v>
      </c>
      <c r="Z34" s="75">
        <f>'Pivot 3(Line chart)'!Q16</f>
        <v>77</v>
      </c>
      <c r="AA34" s="76">
        <f t="shared" ref="AA34:AA36" si="3">IF(Z34&lt;&gt;0,Z34/$Z$37,#N/A)</f>
        <v>0.63636363636363635</v>
      </c>
      <c r="AB34" s="76">
        <f t="shared" si="2"/>
        <v>0.63636363636363635</v>
      </c>
      <c r="AC34" s="75"/>
    </row>
    <row r="35" spans="1:29" x14ac:dyDescent="0.3">
      <c r="A35" s="45"/>
      <c r="K35" s="46"/>
      <c r="M35" s="93"/>
      <c r="N35" s="93"/>
      <c r="Y35" s="75" t="s">
        <v>40</v>
      </c>
      <c r="Z35" s="75">
        <f>'Pivot 3(Line chart)'!Q14</f>
        <v>11</v>
      </c>
      <c r="AA35" s="76">
        <f t="shared" si="3"/>
        <v>9.0909090909090912E-2</v>
      </c>
      <c r="AB35" s="76">
        <f t="shared" si="2"/>
        <v>9.0909090909090912E-2</v>
      </c>
      <c r="AC35" s="75"/>
    </row>
    <row r="36" spans="1:29" x14ac:dyDescent="0.3">
      <c r="A36" s="45"/>
      <c r="K36" s="46"/>
      <c r="M36" s="82"/>
      <c r="N36" s="82"/>
      <c r="Y36" s="75" t="s">
        <v>22</v>
      </c>
      <c r="Z36" s="75">
        <f>'Pivot 3(Line chart)'!Q15</f>
        <v>17</v>
      </c>
      <c r="AA36" s="76">
        <f t="shared" si="3"/>
        <v>0.14049586776859505</v>
      </c>
      <c r="AB36" s="76">
        <f t="shared" si="2"/>
        <v>0.14049586776859505</v>
      </c>
      <c r="AC36" s="75"/>
    </row>
    <row r="37" spans="1:29" x14ac:dyDescent="0.3">
      <c r="A37" s="45"/>
      <c r="K37" s="46"/>
      <c r="M37" s="92"/>
      <c r="N37" s="92"/>
      <c r="Y37" s="75"/>
      <c r="Z37" s="75">
        <f>SUM(Z33:Z36)</f>
        <v>121</v>
      </c>
      <c r="AA37" s="75"/>
      <c r="AB37" s="75"/>
      <c r="AC37" s="75"/>
    </row>
    <row r="38" spans="1:29" x14ac:dyDescent="0.3">
      <c r="A38" s="45"/>
      <c r="K38" s="46"/>
      <c r="M38" s="82"/>
      <c r="N38" s="82"/>
      <c r="Y38" s="75"/>
      <c r="Z38" s="75"/>
      <c r="AA38" s="75"/>
      <c r="AB38" s="75"/>
      <c r="AC38" s="75"/>
    </row>
    <row r="39" spans="1:29" x14ac:dyDescent="0.3">
      <c r="A39" s="45"/>
      <c r="B39" s="17"/>
      <c r="C39" s="17"/>
      <c r="D39" s="17"/>
      <c r="E39" s="17"/>
      <c r="F39" s="17"/>
      <c r="G39" s="17"/>
      <c r="K39" s="46"/>
      <c r="M39" s="93"/>
      <c r="N39" s="93"/>
      <c r="Y39" s="75"/>
      <c r="Z39" s="75"/>
      <c r="AA39" s="75"/>
      <c r="AB39" s="75"/>
      <c r="AC39" s="75"/>
    </row>
    <row r="40" spans="1:29" ht="15" customHeight="1" x14ac:dyDescent="0.3">
      <c r="A40" s="45"/>
      <c r="B40" s="26"/>
      <c r="C40" s="26"/>
      <c r="D40" s="26"/>
      <c r="E40" s="26"/>
      <c r="F40" s="26"/>
      <c r="G40" s="26"/>
      <c r="J40" s="26"/>
      <c r="K40" s="46"/>
      <c r="M40" s="82"/>
      <c r="N40" s="82"/>
      <c r="Y40" s="75" t="s">
        <v>23</v>
      </c>
      <c r="Z40" s="75">
        <f>'Pivot 3(Line chart)'!R13</f>
        <v>14</v>
      </c>
      <c r="AA40" s="76">
        <f>IF(Z40&lt;&gt;0,Z40/$Z$44,#N/A)</f>
        <v>0.11570247933884298</v>
      </c>
      <c r="AB40" s="76">
        <f t="shared" ref="AB40:AB43" si="4">IFERROR(AA40,"")</f>
        <v>0.11570247933884298</v>
      </c>
      <c r="AC40" s="75"/>
    </row>
    <row r="41" spans="1:29" x14ac:dyDescent="0.3">
      <c r="A41" s="45"/>
      <c r="B41" s="50"/>
      <c r="C41" s="50"/>
      <c r="D41" s="50"/>
      <c r="E41" s="50"/>
      <c r="F41" s="50"/>
      <c r="G41" s="50"/>
      <c r="J41" s="26"/>
      <c r="K41" s="46"/>
      <c r="M41" s="92"/>
      <c r="N41" s="92"/>
      <c r="Y41" s="75" t="s">
        <v>45</v>
      </c>
      <c r="Z41" s="75">
        <f>'Pivot 3(Line chart)'!R16</f>
        <v>78</v>
      </c>
      <c r="AA41" s="76">
        <f t="shared" ref="AA41:AA43" si="5">IF(Z41&lt;&gt;0,Z41/$Z$44,#N/A)</f>
        <v>0.64462809917355368</v>
      </c>
      <c r="AB41" s="76">
        <f t="shared" si="4"/>
        <v>0.64462809917355368</v>
      </c>
      <c r="AC41" s="75"/>
    </row>
    <row r="42" spans="1:29" x14ac:dyDescent="0.3">
      <c r="A42" s="45"/>
      <c r="B42" s="17"/>
      <c r="C42" s="17"/>
      <c r="D42" s="17"/>
      <c r="E42" s="17"/>
      <c r="F42" s="17"/>
      <c r="G42" s="17"/>
      <c r="H42" s="17"/>
      <c r="I42" s="17"/>
      <c r="K42" s="46"/>
      <c r="Y42" s="75" t="s">
        <v>40</v>
      </c>
      <c r="Z42" s="75">
        <f>'Pivot 3(Line chart)'!R14</f>
        <v>17</v>
      </c>
      <c r="AA42" s="76">
        <f t="shared" si="5"/>
        <v>0.14049586776859505</v>
      </c>
      <c r="AB42" s="76">
        <f t="shared" si="4"/>
        <v>0.14049586776859505</v>
      </c>
      <c r="AC42" s="75"/>
    </row>
    <row r="43" spans="1:29" x14ac:dyDescent="0.3">
      <c r="A43" s="45"/>
      <c r="B43" s="34"/>
      <c r="C43" s="34"/>
      <c r="D43" s="34"/>
      <c r="E43" s="34"/>
      <c r="F43" s="34"/>
      <c r="G43" s="34"/>
      <c r="J43" s="34"/>
      <c r="K43" s="46"/>
      <c r="M43" s="82"/>
      <c r="N43" s="82"/>
      <c r="Y43" s="75" t="s">
        <v>22</v>
      </c>
      <c r="Z43" s="75">
        <f>'Pivot 3(Line chart)'!R15</f>
        <v>12</v>
      </c>
      <c r="AA43" s="76">
        <f t="shared" si="5"/>
        <v>9.9173553719008267E-2</v>
      </c>
      <c r="AB43" s="76">
        <f t="shared" si="4"/>
        <v>9.9173553719008267E-2</v>
      </c>
      <c r="AC43" s="75"/>
    </row>
    <row r="44" spans="1:29" x14ac:dyDescent="0.3">
      <c r="A44" s="45"/>
      <c r="B44" s="34"/>
      <c r="C44" s="34"/>
      <c r="D44" s="34"/>
      <c r="E44" s="34"/>
      <c r="F44" s="34"/>
      <c r="G44" s="34"/>
      <c r="J44" s="34"/>
      <c r="K44" s="46"/>
      <c r="M44" s="93"/>
      <c r="N44" s="93"/>
      <c r="Y44" s="75"/>
      <c r="Z44" s="75">
        <f>SUM(Z40:Z43)</f>
        <v>121</v>
      </c>
      <c r="AA44" s="75"/>
      <c r="AB44" s="75"/>
      <c r="AC44" s="75"/>
    </row>
    <row r="45" spans="1:29" x14ac:dyDescent="0.3">
      <c r="A45" s="45"/>
      <c r="B45" s="34"/>
      <c r="C45" s="34"/>
      <c r="D45" s="34"/>
      <c r="E45" s="34"/>
      <c r="F45" s="34"/>
      <c r="G45" s="34"/>
      <c r="J45" s="34"/>
      <c r="K45" s="46"/>
      <c r="M45" s="82"/>
      <c r="N45" s="82"/>
    </row>
    <row r="46" spans="1:29" ht="14.25" customHeight="1" x14ac:dyDescent="0.3">
      <c r="A46" s="45"/>
      <c r="K46" s="46"/>
      <c r="M46" s="92"/>
      <c r="N46" s="92"/>
    </row>
    <row r="47" spans="1:29" x14ac:dyDescent="0.3">
      <c r="A47" s="45"/>
      <c r="K47" s="46"/>
      <c r="M47" s="82"/>
      <c r="N47" s="82"/>
    </row>
    <row r="48" spans="1:29" x14ac:dyDescent="0.3">
      <c r="A48" s="45"/>
      <c r="K48" s="46"/>
      <c r="M48" s="93"/>
      <c r="N48" s="93"/>
    </row>
    <row r="49" spans="1:14" x14ac:dyDescent="0.3">
      <c r="A49" s="45"/>
      <c r="K49" s="46"/>
      <c r="M49" s="82"/>
      <c r="N49" s="82"/>
    </row>
    <row r="50" spans="1:14" x14ac:dyDescent="0.3">
      <c r="A50" s="45"/>
      <c r="K50" s="46"/>
      <c r="M50" s="92"/>
      <c r="N50" s="92"/>
    </row>
    <row r="51" spans="1:14" ht="18.600000000000001" thickBot="1" x14ac:dyDescent="0.4">
      <c r="A51" s="47"/>
      <c r="B51" s="48"/>
      <c r="C51" s="48"/>
      <c r="D51" s="48"/>
      <c r="E51" s="48"/>
      <c r="F51" s="48"/>
      <c r="G51" s="48"/>
      <c r="H51" s="48"/>
      <c r="I51" s="48"/>
      <c r="J51" s="48"/>
      <c r="K51" s="49"/>
      <c r="M51" s="94"/>
      <c r="N51" s="94"/>
    </row>
    <row r="52" spans="1:14" x14ac:dyDescent="0.3">
      <c r="M52" s="82"/>
      <c r="N52" s="82"/>
    </row>
    <row r="53" spans="1:14" ht="18" x14ac:dyDescent="0.3">
      <c r="M53" s="100"/>
      <c r="N53" s="100"/>
    </row>
  </sheetData>
  <sheetProtection algorithmName="SHA-512" hashValue="5CxXqds4ZFw3u/t8y7zB8kIGkXb6wSV9p6Ko1Rdn5Nbbxm+cttytjazCJKLX8QYRZ9CpgJzbjd6o7fxABcM/Sw==" saltValue="axwWWKx4HrzD0gncV4ZNsA==" spinCount="100000" sheet="1" objects="1" scenarios="1"/>
  <mergeCells count="34">
    <mergeCell ref="M53:N53"/>
    <mergeCell ref="M51:N51"/>
    <mergeCell ref="M52:N52"/>
    <mergeCell ref="M47:N47"/>
    <mergeCell ref="M48:N48"/>
    <mergeCell ref="M49:N49"/>
    <mergeCell ref="M50:N50"/>
    <mergeCell ref="M38:N38"/>
    <mergeCell ref="M39:N39"/>
    <mergeCell ref="M40:N40"/>
    <mergeCell ref="M45:N45"/>
    <mergeCell ref="M46:N46"/>
    <mergeCell ref="F2:J3"/>
    <mergeCell ref="M3:Q3"/>
    <mergeCell ref="I4:J4"/>
    <mergeCell ref="M4:Q4"/>
    <mergeCell ref="L5:M5"/>
    <mergeCell ref="N5:AB5"/>
    <mergeCell ref="M29:N29"/>
    <mergeCell ref="M30:N30"/>
    <mergeCell ref="M43:N43"/>
    <mergeCell ref="M44:N44"/>
    <mergeCell ref="C6:I6"/>
    <mergeCell ref="M32:N32"/>
    <mergeCell ref="M34:N34"/>
    <mergeCell ref="M25:N25"/>
    <mergeCell ref="M26:N26"/>
    <mergeCell ref="M27:N27"/>
    <mergeCell ref="M28:N28"/>
    <mergeCell ref="M31:N31"/>
    <mergeCell ref="M41:N41"/>
    <mergeCell ref="M35:N35"/>
    <mergeCell ref="M36:N36"/>
    <mergeCell ref="M37:N37"/>
  </mergeCells>
  <pageMargins left="0.7" right="0.7" top="0.75" bottom="0.75" header="0.3" footer="0.3"/>
  <pageSetup scale="88" orientation="portrait" r:id="rId1"/>
  <rowBreaks count="1" manualBreakCount="1">
    <brk id="51"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oneclick">
                <anchor moveWithCells="1" sizeWithCells="1">
                  <from>
                    <xdr:col>11</xdr:col>
                    <xdr:colOff>38100</xdr:colOff>
                    <xdr:row>5</xdr:row>
                    <xdr:rowOff>83820</xdr:rowOff>
                  </from>
                  <to>
                    <xdr:col>12</xdr:col>
                    <xdr:colOff>213360</xdr:colOff>
                    <xdr:row>6</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3:F125"/>
  <sheetViews>
    <sheetView workbookViewId="0">
      <selection activeCell="A3" sqref="A3"/>
    </sheetView>
  </sheetViews>
  <sheetFormatPr defaultRowHeight="14.4" x14ac:dyDescent="0.3"/>
  <cols>
    <col min="1" max="1" width="32.6640625" bestFit="1" customWidth="1"/>
    <col min="2" max="2" width="14.88671875" bestFit="1" customWidth="1"/>
  </cols>
  <sheetData>
    <row r="3" spans="1:6" x14ac:dyDescent="0.3">
      <c r="A3" s="15" t="s">
        <v>20</v>
      </c>
      <c r="B3" s="15" t="s">
        <v>39</v>
      </c>
    </row>
    <row r="4" spans="1:6" x14ac:dyDescent="0.3">
      <c r="A4" s="16" t="s">
        <v>65</v>
      </c>
      <c r="B4" s="16" t="s">
        <v>45</v>
      </c>
      <c r="D4" s="16" t="s">
        <v>23</v>
      </c>
      <c r="F4">
        <f>COUNTIF($B$4:$B$124,D4)</f>
        <v>1</v>
      </c>
    </row>
    <row r="5" spans="1:6" x14ac:dyDescent="0.3">
      <c r="A5" s="16" t="s">
        <v>66</v>
      </c>
      <c r="B5" s="16" t="s">
        <v>45</v>
      </c>
      <c r="D5" t="s">
        <v>40</v>
      </c>
      <c r="F5">
        <f t="shared" ref="F5:F7" si="0">COUNTIF($B$4:$B$124,D5)</f>
        <v>2</v>
      </c>
    </row>
    <row r="6" spans="1:6" x14ac:dyDescent="0.3">
      <c r="A6" s="16" t="s">
        <v>67</v>
      </c>
      <c r="B6" s="16" t="s">
        <v>45</v>
      </c>
      <c r="D6" t="s">
        <v>22</v>
      </c>
      <c r="F6">
        <f t="shared" si="0"/>
        <v>0</v>
      </c>
    </row>
    <row r="7" spans="1:6" x14ac:dyDescent="0.3">
      <c r="A7" s="16" t="s">
        <v>68</v>
      </c>
      <c r="B7" s="16" t="s">
        <v>45</v>
      </c>
      <c r="D7" t="s">
        <v>41</v>
      </c>
      <c r="F7">
        <f t="shared" si="0"/>
        <v>118</v>
      </c>
    </row>
    <row r="8" spans="1:6" x14ac:dyDescent="0.3">
      <c r="A8" s="16" t="s">
        <v>69</v>
      </c>
      <c r="B8" s="16" t="s">
        <v>45</v>
      </c>
      <c r="F8">
        <f>SUM(F4:F7)</f>
        <v>121</v>
      </c>
    </row>
    <row r="9" spans="1:6" x14ac:dyDescent="0.3">
      <c r="A9" s="16" t="s">
        <v>70</v>
      </c>
      <c r="B9" s="16" t="s">
        <v>45</v>
      </c>
    </row>
    <row r="10" spans="1:6" x14ac:dyDescent="0.3">
      <c r="A10" s="16" t="s">
        <v>71</v>
      </c>
      <c r="B10" s="16" t="s">
        <v>45</v>
      </c>
    </row>
    <row r="11" spans="1:6" x14ac:dyDescent="0.3">
      <c r="A11" s="16" t="s">
        <v>72</v>
      </c>
      <c r="B11" s="16" t="s">
        <v>45</v>
      </c>
    </row>
    <row r="12" spans="1:6" x14ac:dyDescent="0.3">
      <c r="A12" s="16" t="s">
        <v>73</v>
      </c>
      <c r="B12" s="16" t="s">
        <v>45</v>
      </c>
    </row>
    <row r="13" spans="1:6" x14ac:dyDescent="0.3">
      <c r="A13" s="16" t="s">
        <v>74</v>
      </c>
      <c r="B13" s="16" t="s">
        <v>45</v>
      </c>
    </row>
    <row r="14" spans="1:6" x14ac:dyDescent="0.3">
      <c r="A14" s="16" t="s">
        <v>75</v>
      </c>
      <c r="B14" s="16" t="s">
        <v>45</v>
      </c>
    </row>
    <row r="15" spans="1:6" x14ac:dyDescent="0.3">
      <c r="A15" s="16" t="s">
        <v>76</v>
      </c>
      <c r="B15" s="16" t="s">
        <v>45</v>
      </c>
    </row>
    <row r="16" spans="1:6" x14ac:dyDescent="0.3">
      <c r="A16" s="16" t="s">
        <v>77</v>
      </c>
      <c r="B16" s="16" t="s">
        <v>45</v>
      </c>
    </row>
    <row r="17" spans="1:2" x14ac:dyDescent="0.3">
      <c r="A17" s="16" t="s">
        <v>78</v>
      </c>
      <c r="B17" s="16" t="s">
        <v>45</v>
      </c>
    </row>
    <row r="18" spans="1:2" x14ac:dyDescent="0.3">
      <c r="A18" s="16" t="s">
        <v>79</v>
      </c>
      <c r="B18" s="16" t="s">
        <v>45</v>
      </c>
    </row>
    <row r="19" spans="1:2" x14ac:dyDescent="0.3">
      <c r="A19" s="16" t="s">
        <v>80</v>
      </c>
      <c r="B19" s="16" t="s">
        <v>45</v>
      </c>
    </row>
    <row r="20" spans="1:2" x14ac:dyDescent="0.3">
      <c r="A20" s="16" t="s">
        <v>81</v>
      </c>
      <c r="B20" s="16" t="s">
        <v>45</v>
      </c>
    </row>
    <row r="21" spans="1:2" x14ac:dyDescent="0.3">
      <c r="A21" s="16" t="s">
        <v>82</v>
      </c>
      <c r="B21" s="16" t="s">
        <v>45</v>
      </c>
    </row>
    <row r="22" spans="1:2" x14ac:dyDescent="0.3">
      <c r="A22" s="16" t="s">
        <v>83</v>
      </c>
      <c r="B22" s="16" t="s">
        <v>45</v>
      </c>
    </row>
    <row r="23" spans="1:2" x14ac:dyDescent="0.3">
      <c r="A23" s="16" t="s">
        <v>84</v>
      </c>
      <c r="B23" s="16" t="s">
        <v>45</v>
      </c>
    </row>
    <row r="24" spans="1:2" x14ac:dyDescent="0.3">
      <c r="A24" s="16" t="s">
        <v>85</v>
      </c>
      <c r="B24" s="16" t="s">
        <v>45</v>
      </c>
    </row>
    <row r="25" spans="1:2" x14ac:dyDescent="0.3">
      <c r="A25" s="16" t="s">
        <v>86</v>
      </c>
      <c r="B25" s="16" t="s">
        <v>45</v>
      </c>
    </row>
    <row r="26" spans="1:2" x14ac:dyDescent="0.3">
      <c r="A26" s="16" t="s">
        <v>87</v>
      </c>
      <c r="B26" s="16" t="s">
        <v>45</v>
      </c>
    </row>
    <row r="27" spans="1:2" x14ac:dyDescent="0.3">
      <c r="A27" s="16" t="s">
        <v>88</v>
      </c>
      <c r="B27" s="16" t="s">
        <v>45</v>
      </c>
    </row>
    <row r="28" spans="1:2" x14ac:dyDescent="0.3">
      <c r="A28" s="16" t="s">
        <v>89</v>
      </c>
      <c r="B28" s="16" t="s">
        <v>45</v>
      </c>
    </row>
    <row r="29" spans="1:2" x14ac:dyDescent="0.3">
      <c r="A29" s="16" t="s">
        <v>90</v>
      </c>
      <c r="B29" s="16" t="s">
        <v>45</v>
      </c>
    </row>
    <row r="30" spans="1:2" x14ac:dyDescent="0.3">
      <c r="A30" s="16" t="s">
        <v>91</v>
      </c>
      <c r="B30" s="16" t="s">
        <v>45</v>
      </c>
    </row>
    <row r="31" spans="1:2" x14ac:dyDescent="0.3">
      <c r="A31" s="16" t="s">
        <v>92</v>
      </c>
      <c r="B31" s="16" t="s">
        <v>45</v>
      </c>
    </row>
    <row r="32" spans="1:2" x14ac:dyDescent="0.3">
      <c r="A32" s="16" t="s">
        <v>93</v>
      </c>
      <c r="B32" s="16" t="s">
        <v>45</v>
      </c>
    </row>
    <row r="33" spans="1:2" x14ac:dyDescent="0.3">
      <c r="A33" s="16" t="s">
        <v>94</v>
      </c>
      <c r="B33" s="16" t="s">
        <v>45</v>
      </c>
    </row>
    <row r="34" spans="1:2" x14ac:dyDescent="0.3">
      <c r="A34" s="16" t="s">
        <v>95</v>
      </c>
      <c r="B34" s="16" t="s">
        <v>45</v>
      </c>
    </row>
    <row r="35" spans="1:2" x14ac:dyDescent="0.3">
      <c r="A35" s="16" t="s">
        <v>96</v>
      </c>
      <c r="B35" s="16" t="s">
        <v>45</v>
      </c>
    </row>
    <row r="36" spans="1:2" x14ac:dyDescent="0.3">
      <c r="A36" s="16" t="s">
        <v>97</v>
      </c>
      <c r="B36" s="16" t="s">
        <v>40</v>
      </c>
    </row>
    <row r="37" spans="1:2" x14ac:dyDescent="0.3">
      <c r="A37" s="16" t="s">
        <v>98</v>
      </c>
      <c r="B37" s="16" t="s">
        <v>45</v>
      </c>
    </row>
    <row r="38" spans="1:2" x14ac:dyDescent="0.3">
      <c r="A38" s="16" t="s">
        <v>99</v>
      </c>
      <c r="B38" s="16" t="s">
        <v>45</v>
      </c>
    </row>
    <row r="39" spans="1:2" x14ac:dyDescent="0.3">
      <c r="A39" s="16" t="s">
        <v>100</v>
      </c>
      <c r="B39" s="16" t="s">
        <v>45</v>
      </c>
    </row>
    <row r="40" spans="1:2" x14ac:dyDescent="0.3">
      <c r="A40" s="16" t="s">
        <v>101</v>
      </c>
      <c r="B40" s="16" t="s">
        <v>45</v>
      </c>
    </row>
    <row r="41" spans="1:2" x14ac:dyDescent="0.3">
      <c r="A41" s="16" t="s">
        <v>102</v>
      </c>
      <c r="B41" s="16" t="s">
        <v>40</v>
      </c>
    </row>
    <row r="42" spans="1:2" x14ac:dyDescent="0.3">
      <c r="A42" s="16" t="s">
        <v>103</v>
      </c>
      <c r="B42" s="16" t="s">
        <v>45</v>
      </c>
    </row>
    <row r="43" spans="1:2" x14ac:dyDescent="0.3">
      <c r="A43" s="16" t="s">
        <v>104</v>
      </c>
      <c r="B43" s="16" t="s">
        <v>45</v>
      </c>
    </row>
    <row r="44" spans="1:2" x14ac:dyDescent="0.3">
      <c r="A44" s="16" t="s">
        <v>105</v>
      </c>
      <c r="B44" s="16" t="s">
        <v>45</v>
      </c>
    </row>
    <row r="45" spans="1:2" x14ac:dyDescent="0.3">
      <c r="A45" s="16" t="s">
        <v>106</v>
      </c>
      <c r="B45" s="16" t="s">
        <v>45</v>
      </c>
    </row>
    <row r="46" spans="1:2" x14ac:dyDescent="0.3">
      <c r="A46" s="16" t="s">
        <v>107</v>
      </c>
      <c r="B46" s="16" t="s">
        <v>45</v>
      </c>
    </row>
    <row r="47" spans="1:2" x14ac:dyDescent="0.3">
      <c r="A47" s="16" t="s">
        <v>108</v>
      </c>
      <c r="B47" s="16" t="s">
        <v>45</v>
      </c>
    </row>
    <row r="48" spans="1:2" x14ac:dyDescent="0.3">
      <c r="A48" s="16" t="s">
        <v>109</v>
      </c>
      <c r="B48" s="16" t="s">
        <v>45</v>
      </c>
    </row>
    <row r="49" spans="1:2" x14ac:dyDescent="0.3">
      <c r="A49" s="16" t="s">
        <v>110</v>
      </c>
      <c r="B49" s="16" t="s">
        <v>45</v>
      </c>
    </row>
    <row r="50" spans="1:2" x14ac:dyDescent="0.3">
      <c r="A50" s="16" t="s">
        <v>111</v>
      </c>
      <c r="B50" s="16" t="s">
        <v>45</v>
      </c>
    </row>
    <row r="51" spans="1:2" x14ac:dyDescent="0.3">
      <c r="A51" s="16" t="s">
        <v>112</v>
      </c>
      <c r="B51" s="16" t="s">
        <v>45</v>
      </c>
    </row>
    <row r="52" spans="1:2" x14ac:dyDescent="0.3">
      <c r="A52" s="16" t="s">
        <v>113</v>
      </c>
      <c r="B52" s="16" t="s">
        <v>45</v>
      </c>
    </row>
    <row r="53" spans="1:2" x14ac:dyDescent="0.3">
      <c r="A53" s="16" t="s">
        <v>114</v>
      </c>
      <c r="B53" s="16" t="s">
        <v>45</v>
      </c>
    </row>
    <row r="54" spans="1:2" x14ac:dyDescent="0.3">
      <c r="A54" s="16" t="s">
        <v>115</v>
      </c>
      <c r="B54" s="16" t="s">
        <v>45</v>
      </c>
    </row>
    <row r="55" spans="1:2" x14ac:dyDescent="0.3">
      <c r="A55" s="16" t="s">
        <v>116</v>
      </c>
      <c r="B55" s="16" t="s">
        <v>45</v>
      </c>
    </row>
    <row r="56" spans="1:2" x14ac:dyDescent="0.3">
      <c r="A56" s="16" t="s">
        <v>117</v>
      </c>
      <c r="B56" s="16" t="s">
        <v>45</v>
      </c>
    </row>
    <row r="57" spans="1:2" x14ac:dyDescent="0.3">
      <c r="A57" s="16" t="s">
        <v>118</v>
      </c>
      <c r="B57" s="16" t="s">
        <v>45</v>
      </c>
    </row>
    <row r="58" spans="1:2" x14ac:dyDescent="0.3">
      <c r="A58" s="16" t="s">
        <v>119</v>
      </c>
      <c r="B58" s="16" t="s">
        <v>45</v>
      </c>
    </row>
    <row r="59" spans="1:2" x14ac:dyDescent="0.3">
      <c r="A59" s="16" t="s">
        <v>120</v>
      </c>
      <c r="B59" s="16" t="s">
        <v>45</v>
      </c>
    </row>
    <row r="60" spans="1:2" x14ac:dyDescent="0.3">
      <c r="A60" s="16" t="s">
        <v>121</v>
      </c>
      <c r="B60" s="16" t="s">
        <v>45</v>
      </c>
    </row>
    <row r="61" spans="1:2" x14ac:dyDescent="0.3">
      <c r="A61" s="16" t="s">
        <v>122</v>
      </c>
      <c r="B61" s="16" t="s">
        <v>45</v>
      </c>
    </row>
    <row r="62" spans="1:2" x14ac:dyDescent="0.3">
      <c r="A62" s="16" t="s">
        <v>123</v>
      </c>
      <c r="B62" s="16" t="s">
        <v>45</v>
      </c>
    </row>
    <row r="63" spans="1:2" x14ac:dyDescent="0.3">
      <c r="A63" s="16" t="s">
        <v>124</v>
      </c>
      <c r="B63" s="16" t="s">
        <v>45</v>
      </c>
    </row>
    <row r="64" spans="1:2" x14ac:dyDescent="0.3">
      <c r="A64" s="16" t="s">
        <v>125</v>
      </c>
      <c r="B64" s="16" t="s">
        <v>45</v>
      </c>
    </row>
    <row r="65" spans="1:2" x14ac:dyDescent="0.3">
      <c r="A65" s="16" t="s">
        <v>126</v>
      </c>
      <c r="B65" s="16" t="s">
        <v>45</v>
      </c>
    </row>
    <row r="66" spans="1:2" x14ac:dyDescent="0.3">
      <c r="A66" s="16" t="s">
        <v>127</v>
      </c>
      <c r="B66" s="16" t="s">
        <v>45</v>
      </c>
    </row>
    <row r="67" spans="1:2" x14ac:dyDescent="0.3">
      <c r="A67" s="16" t="s">
        <v>128</v>
      </c>
      <c r="B67" s="16" t="s">
        <v>45</v>
      </c>
    </row>
    <row r="68" spans="1:2" x14ac:dyDescent="0.3">
      <c r="A68" s="16" t="s">
        <v>129</v>
      </c>
      <c r="B68" s="16" t="s">
        <v>45</v>
      </c>
    </row>
    <row r="69" spans="1:2" x14ac:dyDescent="0.3">
      <c r="A69" s="16" t="s">
        <v>130</v>
      </c>
      <c r="B69" s="16" t="s">
        <v>45</v>
      </c>
    </row>
    <row r="70" spans="1:2" x14ac:dyDescent="0.3">
      <c r="A70" s="16" t="s">
        <v>131</v>
      </c>
      <c r="B70" s="16" t="s">
        <v>45</v>
      </c>
    </row>
    <row r="71" spans="1:2" x14ac:dyDescent="0.3">
      <c r="A71" s="16" t="s">
        <v>132</v>
      </c>
      <c r="B71" s="16" t="s">
        <v>23</v>
      </c>
    </row>
    <row r="72" spans="1:2" x14ac:dyDescent="0.3">
      <c r="A72" s="16" t="s">
        <v>133</v>
      </c>
      <c r="B72" s="16" t="s">
        <v>45</v>
      </c>
    </row>
    <row r="73" spans="1:2" x14ac:dyDescent="0.3">
      <c r="A73" s="16" t="s">
        <v>134</v>
      </c>
      <c r="B73" s="16" t="s">
        <v>45</v>
      </c>
    </row>
    <row r="74" spans="1:2" x14ac:dyDescent="0.3">
      <c r="A74" s="16" t="s">
        <v>135</v>
      </c>
      <c r="B74" s="16" t="s">
        <v>45</v>
      </c>
    </row>
    <row r="75" spans="1:2" x14ac:dyDescent="0.3">
      <c r="A75" s="16" t="s">
        <v>136</v>
      </c>
      <c r="B75" s="16" t="s">
        <v>45</v>
      </c>
    </row>
    <row r="76" spans="1:2" x14ac:dyDescent="0.3">
      <c r="A76" s="16" t="s">
        <v>137</v>
      </c>
      <c r="B76" s="16" t="s">
        <v>45</v>
      </c>
    </row>
    <row r="77" spans="1:2" x14ac:dyDescent="0.3">
      <c r="A77" s="16" t="s">
        <v>138</v>
      </c>
      <c r="B77" s="16" t="s">
        <v>45</v>
      </c>
    </row>
    <row r="78" spans="1:2" x14ac:dyDescent="0.3">
      <c r="A78" s="16" t="s">
        <v>139</v>
      </c>
      <c r="B78" s="16" t="s">
        <v>45</v>
      </c>
    </row>
    <row r="79" spans="1:2" x14ac:dyDescent="0.3">
      <c r="A79" s="16" t="s">
        <v>140</v>
      </c>
      <c r="B79" s="16" t="s">
        <v>45</v>
      </c>
    </row>
    <row r="80" spans="1:2" x14ac:dyDescent="0.3">
      <c r="A80" s="16" t="s">
        <v>141</v>
      </c>
      <c r="B80" s="16" t="s">
        <v>45</v>
      </c>
    </row>
    <row r="81" spans="1:2" x14ac:dyDescent="0.3">
      <c r="A81" s="16" t="s">
        <v>142</v>
      </c>
      <c r="B81" s="16" t="s">
        <v>45</v>
      </c>
    </row>
    <row r="82" spans="1:2" x14ac:dyDescent="0.3">
      <c r="A82" s="16" t="s">
        <v>143</v>
      </c>
      <c r="B82" s="16" t="s">
        <v>45</v>
      </c>
    </row>
    <row r="83" spans="1:2" x14ac:dyDescent="0.3">
      <c r="A83" s="16" t="s">
        <v>144</v>
      </c>
      <c r="B83" s="16" t="s">
        <v>45</v>
      </c>
    </row>
    <row r="84" spans="1:2" x14ac:dyDescent="0.3">
      <c r="A84" s="16" t="s">
        <v>145</v>
      </c>
      <c r="B84" s="16" t="s">
        <v>45</v>
      </c>
    </row>
    <row r="85" spans="1:2" x14ac:dyDescent="0.3">
      <c r="A85" s="16" t="s">
        <v>146</v>
      </c>
      <c r="B85" s="16" t="s">
        <v>45</v>
      </c>
    </row>
    <row r="86" spans="1:2" x14ac:dyDescent="0.3">
      <c r="A86" s="16" t="s">
        <v>147</v>
      </c>
      <c r="B86" s="16" t="s">
        <v>45</v>
      </c>
    </row>
    <row r="87" spans="1:2" x14ac:dyDescent="0.3">
      <c r="A87" s="16" t="s">
        <v>148</v>
      </c>
      <c r="B87" s="16" t="s">
        <v>45</v>
      </c>
    </row>
    <row r="88" spans="1:2" x14ac:dyDescent="0.3">
      <c r="A88" s="16" t="s">
        <v>149</v>
      </c>
      <c r="B88" s="16" t="s">
        <v>45</v>
      </c>
    </row>
    <row r="89" spans="1:2" x14ac:dyDescent="0.3">
      <c r="A89" s="16" t="s">
        <v>150</v>
      </c>
      <c r="B89" s="16" t="s">
        <v>45</v>
      </c>
    </row>
    <row r="90" spans="1:2" x14ac:dyDescent="0.3">
      <c r="A90" s="16" t="s">
        <v>151</v>
      </c>
      <c r="B90" s="16" t="s">
        <v>45</v>
      </c>
    </row>
    <row r="91" spans="1:2" x14ac:dyDescent="0.3">
      <c r="A91" s="16" t="s">
        <v>152</v>
      </c>
      <c r="B91" s="16" t="s">
        <v>45</v>
      </c>
    </row>
    <row r="92" spans="1:2" x14ac:dyDescent="0.3">
      <c r="A92" s="16" t="s">
        <v>153</v>
      </c>
      <c r="B92" s="16" t="s">
        <v>45</v>
      </c>
    </row>
    <row r="93" spans="1:2" x14ac:dyDescent="0.3">
      <c r="A93" s="16" t="s">
        <v>154</v>
      </c>
      <c r="B93" s="16" t="s">
        <v>45</v>
      </c>
    </row>
    <row r="94" spans="1:2" x14ac:dyDescent="0.3">
      <c r="A94" s="16" t="s">
        <v>155</v>
      </c>
      <c r="B94" s="16" t="s">
        <v>45</v>
      </c>
    </row>
    <row r="95" spans="1:2" x14ac:dyDescent="0.3">
      <c r="A95" s="16" t="s">
        <v>156</v>
      </c>
      <c r="B95" s="16" t="s">
        <v>45</v>
      </c>
    </row>
    <row r="96" spans="1:2" x14ac:dyDescent="0.3">
      <c r="A96" s="16" t="s">
        <v>157</v>
      </c>
      <c r="B96" s="16" t="s">
        <v>45</v>
      </c>
    </row>
    <row r="97" spans="1:2" x14ac:dyDescent="0.3">
      <c r="A97" s="16" t="s">
        <v>158</v>
      </c>
      <c r="B97" s="16" t="s">
        <v>45</v>
      </c>
    </row>
    <row r="98" spans="1:2" x14ac:dyDescent="0.3">
      <c r="A98" s="16" t="s">
        <v>159</v>
      </c>
      <c r="B98" s="16" t="s">
        <v>45</v>
      </c>
    </row>
    <row r="99" spans="1:2" x14ac:dyDescent="0.3">
      <c r="A99" s="16" t="s">
        <v>160</v>
      </c>
      <c r="B99" s="16" t="s">
        <v>45</v>
      </c>
    </row>
    <row r="100" spans="1:2" x14ac:dyDescent="0.3">
      <c r="A100" s="16" t="s">
        <v>161</v>
      </c>
      <c r="B100" s="16" t="s">
        <v>45</v>
      </c>
    </row>
    <row r="101" spans="1:2" x14ac:dyDescent="0.3">
      <c r="A101" s="16" t="s">
        <v>162</v>
      </c>
      <c r="B101" s="16" t="s">
        <v>45</v>
      </c>
    </row>
    <row r="102" spans="1:2" x14ac:dyDescent="0.3">
      <c r="A102" s="16" t="s">
        <v>163</v>
      </c>
      <c r="B102" s="16" t="s">
        <v>45</v>
      </c>
    </row>
    <row r="103" spans="1:2" x14ac:dyDescent="0.3">
      <c r="A103" s="16" t="s">
        <v>164</v>
      </c>
      <c r="B103" s="16" t="s">
        <v>45</v>
      </c>
    </row>
    <row r="104" spans="1:2" x14ac:dyDescent="0.3">
      <c r="A104" s="16" t="s">
        <v>165</v>
      </c>
      <c r="B104" s="16" t="s">
        <v>45</v>
      </c>
    </row>
    <row r="105" spans="1:2" x14ac:dyDescent="0.3">
      <c r="A105" s="16" t="s">
        <v>166</v>
      </c>
      <c r="B105" s="16" t="s">
        <v>45</v>
      </c>
    </row>
    <row r="106" spans="1:2" x14ac:dyDescent="0.3">
      <c r="A106" s="16" t="s">
        <v>167</v>
      </c>
      <c r="B106" s="16" t="s">
        <v>45</v>
      </c>
    </row>
    <row r="107" spans="1:2" x14ac:dyDescent="0.3">
      <c r="A107" s="16" t="s">
        <v>168</v>
      </c>
      <c r="B107" s="16" t="s">
        <v>45</v>
      </c>
    </row>
    <row r="108" spans="1:2" x14ac:dyDescent="0.3">
      <c r="A108" s="16" t="s">
        <v>169</v>
      </c>
      <c r="B108" s="16" t="s">
        <v>45</v>
      </c>
    </row>
    <row r="109" spans="1:2" x14ac:dyDescent="0.3">
      <c r="A109" s="16" t="s">
        <v>170</v>
      </c>
      <c r="B109" s="16" t="s">
        <v>45</v>
      </c>
    </row>
    <row r="110" spans="1:2" x14ac:dyDescent="0.3">
      <c r="A110" s="16" t="s">
        <v>171</v>
      </c>
      <c r="B110" s="16" t="s">
        <v>45</v>
      </c>
    </row>
    <row r="111" spans="1:2" x14ac:dyDescent="0.3">
      <c r="A111" s="16" t="s">
        <v>172</v>
      </c>
      <c r="B111" s="16" t="s">
        <v>45</v>
      </c>
    </row>
    <row r="112" spans="1:2" x14ac:dyDescent="0.3">
      <c r="A112" s="16" t="s">
        <v>173</v>
      </c>
      <c r="B112" s="16" t="s">
        <v>45</v>
      </c>
    </row>
    <row r="113" spans="1:2" x14ac:dyDescent="0.3">
      <c r="A113" s="16" t="s">
        <v>174</v>
      </c>
      <c r="B113" s="16" t="s">
        <v>45</v>
      </c>
    </row>
    <row r="114" spans="1:2" x14ac:dyDescent="0.3">
      <c r="A114" s="16" t="s">
        <v>175</v>
      </c>
      <c r="B114" s="16" t="s">
        <v>45</v>
      </c>
    </row>
    <row r="115" spans="1:2" x14ac:dyDescent="0.3">
      <c r="A115" s="16" t="s">
        <v>176</v>
      </c>
      <c r="B115" s="16" t="s">
        <v>45</v>
      </c>
    </row>
    <row r="116" spans="1:2" x14ac:dyDescent="0.3">
      <c r="A116" s="16" t="s">
        <v>177</v>
      </c>
      <c r="B116" s="16" t="s">
        <v>45</v>
      </c>
    </row>
    <row r="117" spans="1:2" x14ac:dyDescent="0.3">
      <c r="A117" s="16" t="s">
        <v>178</v>
      </c>
      <c r="B117" s="16" t="s">
        <v>45</v>
      </c>
    </row>
    <row r="118" spans="1:2" x14ac:dyDescent="0.3">
      <c r="A118" s="16" t="s">
        <v>179</v>
      </c>
      <c r="B118" s="16" t="s">
        <v>45</v>
      </c>
    </row>
    <row r="119" spans="1:2" x14ac:dyDescent="0.3">
      <c r="A119" s="16" t="s">
        <v>180</v>
      </c>
      <c r="B119" s="16" t="s">
        <v>45</v>
      </c>
    </row>
    <row r="120" spans="1:2" x14ac:dyDescent="0.3">
      <c r="A120" s="16" t="s">
        <v>181</v>
      </c>
      <c r="B120" s="16" t="s">
        <v>45</v>
      </c>
    </row>
    <row r="121" spans="1:2" x14ac:dyDescent="0.3">
      <c r="A121" s="16" t="s">
        <v>182</v>
      </c>
      <c r="B121" s="16" t="s">
        <v>45</v>
      </c>
    </row>
    <row r="122" spans="1:2" x14ac:dyDescent="0.3">
      <c r="A122" s="16" t="s">
        <v>183</v>
      </c>
      <c r="B122" s="16" t="s">
        <v>45</v>
      </c>
    </row>
    <row r="123" spans="1:2" x14ac:dyDescent="0.3">
      <c r="A123" s="16" t="s">
        <v>184</v>
      </c>
      <c r="B123" s="16" t="s">
        <v>45</v>
      </c>
    </row>
    <row r="124" spans="1:2" x14ac:dyDescent="0.3">
      <c r="A124" s="16" t="s">
        <v>185</v>
      </c>
      <c r="B124" s="16" t="s">
        <v>45</v>
      </c>
    </row>
    <row r="125" spans="1:2" x14ac:dyDescent="0.3">
      <c r="A125" s="16" t="s">
        <v>21</v>
      </c>
    </row>
  </sheetData>
  <sheetProtection pivotTables="0"/>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XFC134"/>
  <sheetViews>
    <sheetView topLeftCell="H1" workbookViewId="0">
      <selection activeCell="H19" sqref="H19"/>
    </sheetView>
  </sheetViews>
  <sheetFormatPr defaultRowHeight="14.4" x14ac:dyDescent="0.3"/>
  <cols>
    <col min="1" max="1" width="32.6640625" bestFit="1" customWidth="1"/>
    <col min="2" max="4" width="9.88671875" bestFit="1" customWidth="1"/>
    <col min="23" max="23" width="5.5546875" customWidth="1"/>
    <col min="24" max="24" width="11.109375" bestFit="1" customWidth="1"/>
    <col min="25" max="25" width="20" bestFit="1" customWidth="1"/>
    <col min="26" max="26" width="14.109375" bestFit="1" customWidth="1"/>
    <col min="27" max="27" width="26.33203125" bestFit="1" customWidth="1"/>
    <col min="28" max="28" width="28.6640625" bestFit="1" customWidth="1"/>
    <col min="29" max="29" width="27.88671875" bestFit="1" customWidth="1"/>
    <col min="30" max="30" width="26.5546875" bestFit="1" customWidth="1"/>
    <col min="31" max="31" width="32" bestFit="1" customWidth="1"/>
    <col min="33" max="33" width="5.5546875" customWidth="1"/>
    <col min="34" max="34" width="11.109375" bestFit="1" customWidth="1"/>
    <col min="35" max="35" width="25.33203125" bestFit="1" customWidth="1"/>
    <col min="36" max="36" width="32.33203125" bestFit="1" customWidth="1"/>
    <col min="37" max="37" width="28.6640625" bestFit="1" customWidth="1"/>
    <col min="38" max="38" width="27.6640625" bestFit="1" customWidth="1"/>
    <col min="39" max="39" width="26.5546875" bestFit="1" customWidth="1"/>
    <col min="40" max="40" width="21.88671875" customWidth="1"/>
    <col min="41" max="41" width="21.109375" bestFit="1" customWidth="1"/>
    <col min="43" max="43" width="5.5546875" customWidth="1"/>
    <col min="44" max="44" width="11.109375" bestFit="1" customWidth="1"/>
    <col min="45" max="45" width="21.88671875" bestFit="1" customWidth="1"/>
    <col min="46" max="46" width="31" bestFit="1" customWidth="1"/>
    <col min="47" max="47" width="23.33203125" bestFit="1" customWidth="1"/>
    <col min="48" max="48" width="27.88671875" bestFit="1" customWidth="1"/>
    <col min="49" max="49" width="22" bestFit="1" customWidth="1"/>
    <col min="50" max="50" width="21.88671875" bestFit="1" customWidth="1"/>
    <col min="51" max="51" width="21.109375" bestFit="1" customWidth="1"/>
  </cols>
  <sheetData>
    <row r="1" spans="1:51" x14ac:dyDescent="0.3">
      <c r="B1" t="s">
        <v>221</v>
      </c>
      <c r="C1" t="e">
        <f>IF(COUNTA(A12:A15)=3,IF($B$13=B1,1,#N/A),#N/A)</f>
        <v>#N/A</v>
      </c>
      <c r="D1" s="31" t="e">
        <f>IF(COUNTA(A12:A15)=3,IF(B13=B1,1,#N/A),#N/A)</f>
        <v>#N/A</v>
      </c>
      <c r="E1" t="s">
        <v>221</v>
      </c>
      <c r="F1" t="e">
        <f>IF(COUNTA(A12:A15)=3,IF(IF($C$13=E1,1,IF($C$13=E2,1,IF($C$13=E3,1,IF($C$13=E4,1,IF($C$13=E5,1,IF($C$13=E6,1,IF($C$13=E7,1,#N/A)))))))=0,#N/A,1),#N/A)</f>
        <v>#N/A</v>
      </c>
      <c r="G1" t="e">
        <f>IF(COUNTA(A12:A15)=3,IF(C13=E1,1,#N/A),#N/A)</f>
        <v>#N/A</v>
      </c>
      <c r="H1" t="s">
        <v>221</v>
      </c>
      <c r="I1" t="e">
        <f>IF(COUNTA(A12:A15)=3,IF(IF($D$13=H1,1,IF($D$13=H2,1,IF($D$13=H3,1,IF($D$13=H4,1,IF($D$13=H5,1,IF($D$13=H6,1,#N/A))))))=0,#N/A,1),#N/A)</f>
        <v>#N/A</v>
      </c>
      <c r="J1" t="e">
        <f>IF(COUNTA(A12:A15)=3,IF(D13=H1,1,#N/A),#N/A)</f>
        <v>#N/A</v>
      </c>
    </row>
    <row r="2" spans="1:51" x14ac:dyDescent="0.3">
      <c r="B2" t="s">
        <v>222</v>
      </c>
      <c r="C2" t="e">
        <f>IF(COUNTA(A12:A15)=3,IF($B$13=B1,#N/A,IF($B$13=B2,1,#N/A)),#N/A)</f>
        <v>#N/A</v>
      </c>
      <c r="D2" s="31" t="e">
        <f>IF(COUNTA(A12:A15)=3,IF($B$13=B1,#N/A,IF($B$13=B2,1,#N/A)),#N/A)</f>
        <v>#N/A</v>
      </c>
      <c r="E2" t="s">
        <v>222</v>
      </c>
      <c r="F2" t="e">
        <f>IF(COUNTA(A12:A15)=3,IF(IF($C$13=E1,0,IF($C$13=E2,1,IF($C$13=E3,1,IF($C$13=E4,1,IF($C$13=E5,1,IF($C$13=E6,1,IF($C$13=E7,1,#N/A)))))))=0,#N/A,1),#N/A)</f>
        <v>#N/A</v>
      </c>
      <c r="G2" t="e">
        <f>IF(COUNTA(A12:A15)=3,IF($C$13=E1,#N/A,IF($C$13=E2,1,#N/A)),#N/A)</f>
        <v>#N/A</v>
      </c>
      <c r="H2" t="s">
        <v>222</v>
      </c>
      <c r="I2" t="e">
        <f>IF(COUNTA(A12:A15)=3,IF(IF($D$13=H1,0,IF($D$13=H2,1,IF($D$13=H3,1,IF($D$13=H4,1,IF($D$13=H5,1,IF($D$13=H6,1,#N/A))))))=0,#N/A,1),#N/A)</f>
        <v>#N/A</v>
      </c>
      <c r="J2" t="e">
        <f>IF(COUNTA(A12:A15)=3,IF($D$13=H1,#N/A,IF($D$13=H2,1,#N/A)),#N/A)</f>
        <v>#N/A</v>
      </c>
      <c r="L2">
        <f>COUNTA(A12:A14)</f>
        <v>3</v>
      </c>
    </row>
    <row r="3" spans="1:51" x14ac:dyDescent="0.3">
      <c r="B3" t="s">
        <v>223</v>
      </c>
      <c r="C3" t="e">
        <f>IF(COUNTA(A12:A15)=3,IF($B$13=B1,#N/A,IF($B$13=B2,#N/A,IF($B$13=B3,1,IF($B$13=B4,1,IF($B$13=B5,1,IF($B$13=B6,1,IF($B$13=B7,1,IF($B$13=B8,1,IF($B$13=B9,1,IF($B$13=B10,1,#N/A)))))))))),#N/A)</f>
        <v>#N/A</v>
      </c>
      <c r="D3" s="31" t="e">
        <f>IF(COUNTA($A$12:$A$15)=3,IF(ISNUMBER(SEARCH(B3,$B$13)),1,IF(AND($B$13&lt;&gt;$B$1,$B$13&lt;&gt;$B$2),1,#N/A)),#N/A)</f>
        <v>#N/A</v>
      </c>
      <c r="E3" t="s">
        <v>223</v>
      </c>
      <c r="F3" t="e">
        <f>IF(COUNTA(A12:A15)=3,IF(IF($C$13=E1,0,IF($C$13=E2,0,IF($C$13=E3,1,IF($C$13=E4,1,IF($C$13=E5,1,IF($C$13=E6,1,IF($C$13=E7,1,#N/A)))))))=0,#N/A,1),#N/A)</f>
        <v>#N/A</v>
      </c>
      <c r="G3" s="31" t="e">
        <f>IF(COUNTA($A$12:$A$15)=3,IF(ISNUMBER(SEARCH(E3,$C$13)),1,IF(AND($C$13&lt;&gt;$E$1,$C$13&lt;&gt;$E$2),1,#N/A)),#N/A)</f>
        <v>#N/A</v>
      </c>
      <c r="H3" t="s">
        <v>223</v>
      </c>
      <c r="I3" t="e">
        <f>IF(COUNTA(A12:A15)=3,IF(IF($D$13=H1,0,IF($D$13=H2,0,IF($D$13=H3,1,IF($D$13=H4,1,IF($D$13=H5,1,IF($D$13=H6,1,#N/A))))))=0,#N/A,1),#N/A)</f>
        <v>#N/A</v>
      </c>
      <c r="J3" s="31" t="e">
        <f>IF(COUNTA($A$12:$A$15)=3,IF(ISNUMBER(SEARCH(H3,$D$13)),1,IF(AND($D$13&lt;&gt;$H$1,$D$13&lt;&gt;$H$2),1,#N/A)),#N/A)</f>
        <v>#N/A</v>
      </c>
    </row>
    <row r="4" spans="1:51" x14ac:dyDescent="0.3">
      <c r="B4" t="s">
        <v>224</v>
      </c>
      <c r="D4" s="31" t="e">
        <f>IF(COUNTA($A$12:$A$15)=3,IF(ISNUMBER(SEARCH(B4,$B$13)),1,IF(AND($B$13&lt;&gt;$B$1,$B$13&lt;&gt;$B$2,$B$13&lt;&gt;$B$3),1,#N/A)),#N/A)</f>
        <v>#N/A</v>
      </c>
      <c r="E4" t="s">
        <v>224</v>
      </c>
      <c r="F4" t="e">
        <f>IF(COUNTA(A12:A15)=3,IF(IF($C$13=E1,0,IF($C$13=E2,0,IF($C$13=E3,0,IF($C$13=E4,1,IF($C$13=E5,1,IF($C$13=E6,1,IF($C$13=E7,1,#N/A)))))))=0,#N/A,1),#N/A)</f>
        <v>#N/A</v>
      </c>
      <c r="G4" s="31" t="e">
        <f>IF(COUNTA($A$12:$A$15)=3,IF(ISNUMBER(SEARCH(E4,$C$13)),1,IF(AND($C$13&lt;&gt;$E$1,$C$13&lt;&gt;$E$2,$C$13&lt;&gt;$E$3),1,#N/A)),#N/A)</f>
        <v>#N/A</v>
      </c>
      <c r="H4" t="s">
        <v>224</v>
      </c>
      <c r="I4" t="e">
        <f>IF(COUNTA(A12:A15)=3,IF(IF($D$13=H1,0,IF($D$13=H2,0,IF($D$13=H3,0,IF($D$13=H4,1,IF($D$13=H5,1,IF($D$13=H6,1,#N/A))))))=0,#N/A,1),#N/A)</f>
        <v>#N/A</v>
      </c>
      <c r="J4" s="31" t="e">
        <f>IF(COUNTA($A$12:$A$15)=3,IF(ISNUMBER(SEARCH(H4,$D$13)),1,IF(AND($D$13&lt;&gt;$H$1,$D$13&lt;&gt;$H$2,$D$13&lt;&gt;$H$3),1,#N/A)),#N/A)</f>
        <v>#N/A</v>
      </c>
    </row>
    <row r="5" spans="1:51" x14ac:dyDescent="0.3">
      <c r="B5" t="s">
        <v>225</v>
      </c>
      <c r="C5" t="e">
        <f>IF(COUNTA(A12:A15)=3,IF(IF($B$13=B1,0,IF($B$13=B2,0,IF($B$13=B3,0,IF($B$13=B4,0,IF($B$13=B5,1,IF($B$13=B6,1,IF($B$13=B7,1,IF($B$13=B8,1,#N/A))))))))=0,#N/A,1),#N/A)</f>
        <v>#N/A</v>
      </c>
      <c r="D5" s="31" t="e">
        <f>IF(COUNTA($A$12:$A$15)=3,IF(ISNUMBER(SEARCH(B5,$B$13)),1,IF(AND($B$13&lt;&gt;$B$1,$B$13&lt;&gt;$B$2,$B$13&lt;&gt;$B$3,$B$13&lt;&gt;$B$4),1,#N/A)),#N/A)</f>
        <v>#N/A</v>
      </c>
      <c r="E5" t="s">
        <v>225</v>
      </c>
      <c r="F5" t="e">
        <f>IF(COUNTA(A12:A15)=3,IF(IF($C$13=E1,0,IF($C$13=E2,0,IF($C$13=E3,0,IF($C$13=E4,0,IF($C$13=E5,1,IF($C$13=E6,1,IF($C$13=E7,1,#N/A)))))))=0,#N/A,1),#N/A)</f>
        <v>#N/A</v>
      </c>
      <c r="G5" s="31" t="e">
        <f>IF(COUNTA($A$12:$A$15)=3,IF(ISNUMBER(SEARCH(E5,$C$13)),1,IF(AND($C$13&lt;&gt;$E$1,$C$13&lt;&gt;$E$2,$C$13&lt;&gt;$E$3,$C$13&lt;&gt;$E$4),1,#N/A)),#N/A)</f>
        <v>#N/A</v>
      </c>
      <c r="H5" t="s">
        <v>225</v>
      </c>
      <c r="I5" t="e">
        <f>IF(COUNTA(A12:A15)=3,IF(IF($D$13=H1,0,IF($D$13=H2,0,IF($D$13=H3,0,IF($D$13=H4,0,IF($D$13=H5,1,IF($D$13=H6,1,#N/A))))))=0,#N/A,1),#N/A)</f>
        <v>#N/A</v>
      </c>
      <c r="J5" s="31" t="e">
        <f>IF(COUNTA($A$12:$A$15)=3,IF(ISNUMBER(SEARCH(H5,$D$13)),1,IF(AND($D$13&lt;&gt;$H$1,$D$13&lt;&gt;$H$2,$D$13&lt;&gt;$H$3,$D$13&lt;&gt;$H$4),1,#N/A)),#N/A)</f>
        <v>#N/A</v>
      </c>
    </row>
    <row r="6" spans="1:51" x14ac:dyDescent="0.3">
      <c r="B6" t="s">
        <v>226</v>
      </c>
      <c r="C6" t="e">
        <f>IF(COUNTA(A12:A15)=3,IF(IF($B$13=B1,0,IF($B$13=B2,0,IF($B$13=B3,0,IF($B$13=B4,0,IF($B$13=B5,0,IF($B$13=B6,1,IF($B$13=B7,1,IF($B$13=B8,1,#N/A))))))))=0,#N/A,1),#N/A)</f>
        <v>#N/A</v>
      </c>
      <c r="D6" s="31" t="e">
        <f>IF(COUNTA($A$12:$A$15)=3,IF(ISNUMBER(SEARCH(B6,$B$13)),1,IF(AND($B$13&lt;&gt;$B$1,$B$13&lt;&gt;$B$2,$B$13&lt;&gt;$B$3,$B$13&lt;&gt;$B$4,$B$13&lt;&gt;$B$5),1,#N/A)),#N/A)</f>
        <v>#N/A</v>
      </c>
      <c r="E6" t="s">
        <v>226</v>
      </c>
      <c r="F6" t="e">
        <f>IF(COUNTA(A12:A15)=3,IF(IF($C$13=E1,0,IF($C$13=E2,0,IF($C$13=E3,0,IF($C$13=E4,0,IF($C$13=E5,0,IF($C$13=E6,1,IF($C$13=E7,1,#N/A)))))))=0,#N/A,1),#N/A)</f>
        <v>#N/A</v>
      </c>
      <c r="G6" s="31" t="e">
        <f>IF(COUNTA($A$12:$A$15)=3,IF(ISNUMBER(SEARCH(E6,$C$13)),1,IF(AND($C$13&lt;&gt;$E$1,$C$13&lt;&gt;$E$2,$C$13&lt;&gt;$E$3,$C$13&lt;&gt;$E$4,$C$13&lt;&gt;$E$5),1,#N/A)),#N/A)</f>
        <v>#N/A</v>
      </c>
      <c r="H6" t="s">
        <v>226</v>
      </c>
      <c r="I6" t="e">
        <f>IF(COUNTA(A12:A15)=3,IF(IF($D$13=H1,0,IF($D$13=H2,0,IF($D$13=H3,0,IF($D$13=H4,0,IF($D$13=H5,0,IF($D$13=H6,1,#N/A))))))=0,#N/A,1),#N/A)</f>
        <v>#N/A</v>
      </c>
      <c r="J6" s="31" t="e">
        <f>IF(COUNTA($A$12:$A$15)=3,IF(ISNUMBER(SEARCH(H6,$D$13)),1,IF(AND($D$13&lt;&gt;$H$1,$D$13&lt;&gt;$H$2,$D$13&lt;&gt;$H$3,$D$13&lt;&gt;$H$4,$D$13&lt;&gt;$H$5),1,#N/A)),#N/A)</f>
        <v>#N/A</v>
      </c>
      <c r="R6" t="s">
        <v>221</v>
      </c>
    </row>
    <row r="7" spans="1:51" x14ac:dyDescent="0.3">
      <c r="B7" t="s">
        <v>227</v>
      </c>
      <c r="C7" t="e">
        <f>IF(COUNTA(A12:A15)=3,IF(IF($B$13=B1,0,IF($B$13=B2,0,IF($B$13=B3,0,IF($B$13=B4,0,IF($B$13=B5,0,IF($B$13=B6,0,IF($B$13=B7,1,IF($B$13=B8,1,#N/A))))))))=0,#N/A,1),#N/A)</f>
        <v>#N/A</v>
      </c>
      <c r="D7" s="31" t="e">
        <f>IF(COUNTA($A$12:$A$15)=3,IF(ISNUMBER(SEARCH(B7,$B$13)),1,IF(AND($B$13&lt;&gt;$B$1,$B$13&lt;&gt;$B$2,$B$13&lt;&gt;$B$3,$B$13&lt;&gt;$B$4,$B$13&lt;&gt;$B$5,$B$13&lt;&gt;$B$6),1,#N/A)),#N/A)</f>
        <v>#N/A</v>
      </c>
      <c r="E7" t="s">
        <v>227</v>
      </c>
      <c r="F7" t="e">
        <f>IF(COUNTA(A12:A15)=3,IF(IF($C$13=E1,0,IF($C$13=E2,0,IF($C$13=E3,0,IF($C$13=E4,0,IF($C$13=E5,0,IF($C$13=E6,0,IF($C$13=E7,1,#N/A)))))))=0,#N/A,1),#N/A)</f>
        <v>#N/A</v>
      </c>
      <c r="G7" s="31" t="e">
        <f>IF(COUNTA($A$12:$A$15)=3,IF(ISNUMBER(SEARCH(E7,$C$13)),1,IF(AND($C$13&lt;&gt;$E$1,$C$13&lt;&gt;$E$2,$C$13&lt;&gt;$E$3,$C$13&lt;&gt;$E$4,$C$13&lt;&gt;$E$5,$C$13&lt;&gt;$E$6),1,#N/A)),#N/A)</f>
        <v>#N/A</v>
      </c>
      <c r="H7" t="s">
        <v>227</v>
      </c>
      <c r="J7" s="31" t="e">
        <f>IF(COUNTA($A$12:$A$15)=3,IF(ISNUMBER(SEARCH(H7,$D$13)),1,IF(AND($D$13&lt;&gt;$H$1,$D$13&lt;&gt;$H$2,$D$13&lt;&gt;$H$3,$D$13&lt;&gt;$H$4,$D$13&lt;&gt;$H$5,$D$13&lt;&gt;$H$6),1,#N/A)),#N/A)</f>
        <v>#N/A</v>
      </c>
      <c r="R7" t="s">
        <v>21</v>
      </c>
    </row>
    <row r="8" spans="1:51" x14ac:dyDescent="0.3">
      <c r="B8" t="s">
        <v>228</v>
      </c>
      <c r="C8" t="e">
        <f>IF(COUNTA(A12:A15)=3,IF(IF($B$13=B1,0,IF($B$13=B2,0,IF($B$13=B3,0,IF($B$13=B4,0,IF($B$13=B5,0,IF($B$13=B6,0,IF($B$13=B7,0,IF($B$13=B8,1,#N/A))))))))=0,#N/A,1),#N/A)</f>
        <v>#N/A</v>
      </c>
      <c r="D8" s="31" t="e">
        <f>IF(COUNTA($A$12:$A$15)=3,IF(ISNUMBER(SEARCH(B8,$B$13)),1,IF(AND($B$13&lt;&gt;$B$1,$B$13&lt;&gt;$B$2,$B$13&lt;&gt;$B$3,$B$13&lt;&gt;$B$4,$B$13&lt;&gt;$B$5,$B$13&lt;&gt;$B$6,$B$13&lt;&gt;$B$7),1,#N/A)),#N/A)</f>
        <v>#N/A</v>
      </c>
      <c r="E8" s="19" t="s">
        <v>228</v>
      </c>
      <c r="G8" s="31" t="e">
        <f>IF(COUNTA($A$12:$A$15)=3,IF(ISNUMBER(SEARCH(E8,$C$13)),1,IF(AND($C$13&lt;&gt;$E$1,$C$13&lt;&gt;$E$2,$C$13&lt;&gt;$E$3,$C$13&lt;&gt;$E$4,$C$13&lt;&gt;$E$5,$C$13&lt;&gt;$E$6,$C$13&lt;&gt;$E$7),1,#N/A)),#N/A)</f>
        <v>#N/A</v>
      </c>
      <c r="H8" t="s">
        <v>228</v>
      </c>
      <c r="J8" s="31" t="e">
        <f>IF(COUNTA($A$12:$A$15)=3,IF(ISNUMBER(SEARCH(H8,$D$13)),1,IF(AND($D$13&lt;&gt;$H$1,$D$13&lt;&gt;$H$2,$D$13&lt;&gt;$H$3,$D$13&lt;&gt;$H$4,$D$13&lt;&gt;$H$5,$D$13&lt;&gt;$H$6,$D$13&lt;&gt;$H$7),1,#N/A)),#N/A)</f>
        <v>#N/A</v>
      </c>
      <c r="R8" t="s">
        <v>229</v>
      </c>
    </row>
    <row r="9" spans="1:51" x14ac:dyDescent="0.3">
      <c r="B9" t="s">
        <v>229</v>
      </c>
      <c r="D9" s="31" t="e">
        <f>IF(COUNTA($A$12:$A$15)=3,IF(ISNUMBER(SEARCH(B9,$B$13)),1,IF(AND($B$13&lt;&gt;$B$1,$B$13&lt;&gt;$B$2,$B$13&lt;&gt;$B$3,$B$13&lt;&gt;$B$4,$B$13&lt;&gt;$B$5,$B$13&lt;&gt;$B$6,$B$13&lt;&gt;$B$7,$B$13&lt;&gt;$B$8),1,#N/A)),#N/A)</f>
        <v>#N/A</v>
      </c>
      <c r="E9" t="s">
        <v>229</v>
      </c>
      <c r="G9" s="31" t="e">
        <f>IF(COUNTA($A$12:$A$15)=3,IF(ISNUMBER(SEARCH(E9,$C$13)),1,IF(AND($C$13&lt;&gt;$E$1,$C$13&lt;&gt;$E$2,$C$13&lt;&gt;$E$3,$C$13&lt;&gt;$E$4,$C$13&lt;&gt;$E$5,$C$13&lt;&gt;$E$6,$C$13&lt;&gt;$E$7,$C$13&lt;&gt;$E$8),1,#N/A)),#N/A)</f>
        <v>#N/A</v>
      </c>
      <c r="H9" t="s">
        <v>229</v>
      </c>
      <c r="J9" s="31" t="e">
        <f>IF(COUNTA($A$12:$A$15)=3,IF(ISNUMBER(SEARCH(H9,$D$13)),1,IF(AND($D$13&lt;&gt;$H$1,$D$13&lt;&gt;$H$2,$D$13&lt;&gt;$H$3,$D$13&lt;&gt;$H$4,$D$13&lt;&gt;$H$5,$D$13&lt;&gt;$H$6,$D$13&lt;&gt;$H$7,$D$13&lt;&gt;$H$8),1,#N/A)),#N/A)</f>
        <v>#N/A</v>
      </c>
      <c r="R9" t="s">
        <v>222</v>
      </c>
      <c r="W9" s="3"/>
      <c r="X9" s="3"/>
      <c r="Y9" s="3"/>
      <c r="Z9" s="3"/>
      <c r="AA9" s="3"/>
      <c r="AB9" s="3"/>
      <c r="AC9" s="3"/>
      <c r="AD9" s="3"/>
      <c r="AE9" s="3"/>
      <c r="AG9" s="3"/>
      <c r="AH9" s="3"/>
      <c r="AI9" s="3"/>
      <c r="AJ9" s="38"/>
      <c r="AK9" s="3"/>
      <c r="AL9" s="3"/>
      <c r="AM9" s="3"/>
      <c r="AN9" s="3"/>
      <c r="AO9" s="3"/>
      <c r="AQ9" s="3"/>
      <c r="AR9" s="3"/>
      <c r="AS9" s="3"/>
      <c r="AT9" s="3"/>
      <c r="AU9" s="3"/>
      <c r="AV9" s="3"/>
      <c r="AW9" s="3"/>
      <c r="AX9" s="3"/>
      <c r="AY9" s="3"/>
    </row>
    <row r="10" spans="1:51" x14ac:dyDescent="0.3">
      <c r="D10" s="31"/>
      <c r="W10" s="3"/>
      <c r="X10" s="3"/>
      <c r="Y10" s="3"/>
      <c r="Z10" s="3"/>
      <c r="AA10" s="3"/>
      <c r="AB10" s="3"/>
      <c r="AC10" s="3"/>
      <c r="AD10" s="3"/>
      <c r="AE10" s="3"/>
      <c r="AG10" s="3"/>
      <c r="AH10" s="3"/>
      <c r="AI10" s="3"/>
      <c r="AJ10" s="38"/>
      <c r="AK10" s="3"/>
      <c r="AL10" s="3"/>
      <c r="AM10" s="3"/>
      <c r="AN10" s="3"/>
      <c r="AO10" s="3"/>
      <c r="AQ10" s="3"/>
      <c r="AR10" s="3"/>
      <c r="AS10" s="3"/>
      <c r="AT10" s="3"/>
      <c r="AU10" s="3"/>
      <c r="AV10" s="3"/>
      <c r="AW10" s="3"/>
      <c r="AX10" s="3"/>
      <c r="AY10" s="3"/>
    </row>
    <row r="11" spans="1:51" x14ac:dyDescent="0.3">
      <c r="W11" s="2" t="s">
        <v>221</v>
      </c>
      <c r="X11" s="2" t="s">
        <v>222</v>
      </c>
      <c r="Y11" s="2" t="s">
        <v>223</v>
      </c>
      <c r="Z11" s="37" t="s">
        <v>224</v>
      </c>
      <c r="AA11" s="2" t="s">
        <v>225</v>
      </c>
      <c r="AB11" s="2" t="s">
        <v>226</v>
      </c>
      <c r="AC11" s="2" t="s">
        <v>227</v>
      </c>
      <c r="AD11" s="2" t="s">
        <v>228</v>
      </c>
      <c r="AE11" s="2" t="s">
        <v>229</v>
      </c>
      <c r="AG11" s="2" t="s">
        <v>221</v>
      </c>
      <c r="AH11" s="2" t="s">
        <v>222</v>
      </c>
      <c r="AI11" s="2" t="s">
        <v>223</v>
      </c>
      <c r="AJ11" s="37" t="s">
        <v>224</v>
      </c>
      <c r="AK11" s="2" t="s">
        <v>225</v>
      </c>
      <c r="AL11" s="2" t="s">
        <v>226</v>
      </c>
      <c r="AM11" s="2" t="s">
        <v>227</v>
      </c>
      <c r="AN11" s="2" t="s">
        <v>228</v>
      </c>
      <c r="AO11" s="2" t="s">
        <v>229</v>
      </c>
      <c r="AQ11" s="2" t="s">
        <v>221</v>
      </c>
      <c r="AR11" s="2" t="s">
        <v>222</v>
      </c>
      <c r="AS11" s="2" t="s">
        <v>223</v>
      </c>
      <c r="AT11" s="37" t="s">
        <v>224</v>
      </c>
      <c r="AU11" s="2" t="s">
        <v>225</v>
      </c>
      <c r="AV11" s="2" t="s">
        <v>226</v>
      </c>
      <c r="AW11" s="2" t="s">
        <v>227</v>
      </c>
      <c r="AX11" s="2" t="s">
        <v>228</v>
      </c>
      <c r="AY11" s="2" t="s">
        <v>229</v>
      </c>
    </row>
    <row r="12" spans="1:51" x14ac:dyDescent="0.3">
      <c r="A12" s="15" t="s">
        <v>20</v>
      </c>
      <c r="B12" s="15" t="s">
        <v>218</v>
      </c>
      <c r="C12" s="15" t="s">
        <v>219</v>
      </c>
      <c r="D12" s="15" t="s">
        <v>220</v>
      </c>
      <c r="P12" t="s">
        <v>218</v>
      </c>
      <c r="Q12" t="s">
        <v>219</v>
      </c>
      <c r="R12" t="s">
        <v>220</v>
      </c>
      <c r="S12" s="32" t="b">
        <f>ISNUMBER(SEARCH($R$7,A13:A163))</f>
        <v>0</v>
      </c>
      <c r="W12" s="102" t="s">
        <v>6</v>
      </c>
      <c r="X12" s="103"/>
      <c r="Y12" s="103"/>
      <c r="Z12" s="103"/>
      <c r="AA12" s="103"/>
      <c r="AB12" s="103"/>
      <c r="AC12" s="103"/>
      <c r="AD12" s="103"/>
      <c r="AE12" s="104"/>
      <c r="AG12" s="101" t="s">
        <v>7</v>
      </c>
      <c r="AH12" s="101"/>
      <c r="AI12" s="101"/>
      <c r="AJ12" s="101"/>
      <c r="AK12" s="101"/>
      <c r="AL12" s="101"/>
      <c r="AM12" s="101"/>
      <c r="AN12" s="101"/>
      <c r="AO12" s="101"/>
      <c r="AQ12" s="101" t="s">
        <v>8</v>
      </c>
      <c r="AR12" s="101"/>
      <c r="AS12" s="101"/>
      <c r="AT12" s="101"/>
      <c r="AU12" s="101"/>
      <c r="AV12" s="101"/>
      <c r="AW12" s="101"/>
      <c r="AX12" s="101"/>
      <c r="AY12" s="101"/>
    </row>
    <row r="13" spans="1:51" x14ac:dyDescent="0.3">
      <c r="A13" s="16" t="s">
        <v>65</v>
      </c>
      <c r="B13" s="16" t="s">
        <v>229</v>
      </c>
      <c r="C13" s="16" t="s">
        <v>227</v>
      </c>
      <c r="D13" s="16" t="s">
        <v>228</v>
      </c>
      <c r="O13" s="16" t="s">
        <v>23</v>
      </c>
      <c r="P13">
        <f>COUNTIF(B13:B133,$R$8)</f>
        <v>26</v>
      </c>
      <c r="Q13">
        <f t="shared" ref="Q13:R13" si="0">COUNTIF(C13:C133,$R$8)</f>
        <v>16</v>
      </c>
      <c r="R13">
        <f t="shared" si="0"/>
        <v>14</v>
      </c>
      <c r="W13" t="e">
        <f>IF(B13=$W$11,$W$11,#N/A)</f>
        <v>#N/A</v>
      </c>
      <c r="X13" t="str">
        <f>IF(ISNUMBER(SEARCH($X$11,B13)),$X$11,"")</f>
        <v/>
      </c>
      <c r="Y13" t="str">
        <f>IF(ISNUMBER(SEARCH($Y$11,B13)),$Y$11,"")</f>
        <v/>
      </c>
      <c r="Z13" t="str">
        <f>IF(ISNUMBER(SEARCH($Z$11,B13)),$Z$11,"")</f>
        <v/>
      </c>
      <c r="AA13" t="str">
        <f>IF(ISNUMBER(SEARCH($AA$11,B13)),$AA$11,"")</f>
        <v/>
      </c>
      <c r="AB13" t="str">
        <f>IF(ISNUMBER(SEARCH($AB$11,B13)),$AB$11,"")</f>
        <v/>
      </c>
      <c r="AC13" t="str">
        <f>IF(ISNUMBER(SEARCH($AC$11,B13)),$AC$11,"")</f>
        <v/>
      </c>
      <c r="AD13" t="str">
        <f>IF(ISNUMBER(SEARCH($AD$11,B13)),$AD$11,"")</f>
        <v/>
      </c>
      <c r="AE13" t="str">
        <f>IF(ISNUMBER(SEARCH($AE$11,B13)),$AE$11,"")</f>
        <v>Step 9</v>
      </c>
      <c r="AG13" t="e">
        <f>IF(C13=$AG$11,$AG$11,#N/A)</f>
        <v>#N/A</v>
      </c>
      <c r="AH13" t="str">
        <f>IF(ISNUMBER(SEARCH($AH$11,C13)),$AH$11,"")</f>
        <v/>
      </c>
      <c r="AI13" t="str">
        <f>IF(ISNUMBER(SEARCH($AI$11,C13)),$AI$11,"")</f>
        <v/>
      </c>
      <c r="AJ13" t="str">
        <f>IF(ISNUMBER(SEARCH($AJ$11,C13)),$AJ$11,"")</f>
        <v/>
      </c>
      <c r="AK13" t="str">
        <f>IF(ISNUMBER(SEARCH($AK$11,C13)),$AK$11,"")</f>
        <v/>
      </c>
      <c r="AL13" t="str">
        <f>IF(ISNUMBER(SEARCH($AL$11,C13)),$AL$11,"")</f>
        <v/>
      </c>
      <c r="AM13" t="str">
        <f>IF(ISNUMBER(SEARCH($AM$11,C13)),$AM$11,"")</f>
        <v>Step 7</v>
      </c>
      <c r="AN13" t="str">
        <f>IF(ISNUMBER(SEARCH($AN$11,C13)),$AN$11,"")</f>
        <v/>
      </c>
      <c r="AO13" t="str">
        <f>IF(ISNUMBER(SEARCH($AO$11,C13)),$AO$11,"")</f>
        <v/>
      </c>
      <c r="AQ13" t="e">
        <f>IF(D13=$AQ$11,$AQ$11,#N/A)</f>
        <v>#N/A</v>
      </c>
      <c r="AR13" t="str">
        <f>IF(ISNUMBER(SEARCH($AR$11,D13)),$AR$11,"")</f>
        <v/>
      </c>
      <c r="AS13" t="str">
        <f>IF(ISNUMBER(SEARCH($AS$11,D13)),$AS$11,"")</f>
        <v/>
      </c>
      <c r="AT13" t="str">
        <f>IF(ISNUMBER(SEARCH($AT$11,D13)),$AT$11,"")</f>
        <v/>
      </c>
      <c r="AU13" t="str">
        <f>IF(ISNUMBER(SEARCH($AU$11,D13)),$AU$11,"")</f>
        <v/>
      </c>
      <c r="AV13" t="str">
        <f>IF(ISNUMBER(SEARCH($AV$11,D13)),$AV$11,"")</f>
        <v/>
      </c>
      <c r="AW13" t="str">
        <f>IF(ISNUMBER(SEARCH($AW$11,D13)),$AW$11,"")</f>
        <v/>
      </c>
      <c r="AX13" t="str">
        <f>IF(ISNUMBER(SEARCH($AX$11,D13)),$AX$11,"")</f>
        <v>Step 8</v>
      </c>
      <c r="AY13" t="str">
        <f>IF(ISNUMBER(SEARCH($AY$11,D13)),$AY$11,"")</f>
        <v/>
      </c>
    </row>
    <row r="14" spans="1:51" x14ac:dyDescent="0.3">
      <c r="A14" s="16" t="s">
        <v>66</v>
      </c>
      <c r="B14" s="16" t="s">
        <v>225</v>
      </c>
      <c r="C14" s="16" t="s">
        <v>221</v>
      </c>
      <c r="D14" s="16" t="s">
        <v>222</v>
      </c>
      <c r="O14" t="s">
        <v>40</v>
      </c>
      <c r="P14">
        <f>COUNTIF(B13:B133,$R$9)</f>
        <v>11</v>
      </c>
      <c r="Q14">
        <f>COUNTIF(C13:C133,$R$9)</f>
        <v>11</v>
      </c>
      <c r="R14">
        <f>COUNTIF(D13:D133,$R$9)</f>
        <v>17</v>
      </c>
      <c r="W14" t="e">
        <f>IF(B14=$W$11,$W$11,#N/A)</f>
        <v>#N/A</v>
      </c>
      <c r="X14" t="str">
        <f>IF(ISNUMBER(SEARCH($X$11,B14)),$X$11,"")</f>
        <v/>
      </c>
      <c r="Y14" t="str">
        <f>IF(ISNUMBER(SEARCH($Y$11,B14)),$Y$11,"")</f>
        <v/>
      </c>
      <c r="Z14" t="str">
        <f>IF(ISNUMBER(SEARCH($Z$11,B14)),$Z$11,"")</f>
        <v/>
      </c>
      <c r="AA14" t="str">
        <f>IF(ISNUMBER(SEARCH($AA$11,B14)),$AA$11,"")</f>
        <v>Step 5</v>
      </c>
      <c r="AB14" t="str">
        <f>IF(ISNUMBER(SEARCH($AB$11,B14)),$AB$11,"")</f>
        <v/>
      </c>
      <c r="AC14" t="str">
        <f>IF(ISNUMBER(SEARCH($AC$11,B14)),$AC$11,"")</f>
        <v/>
      </c>
      <c r="AD14" t="str">
        <f>IF(ISNUMBER(SEARCH($AD$11,B14)),$AD$11,"")</f>
        <v/>
      </c>
      <c r="AE14" t="str">
        <f t="shared" ref="AE14:AE77" si="1">IF(ISNUMBER(SEARCH($AE$11,B14)),$AE$11,"")</f>
        <v/>
      </c>
      <c r="AG14" t="str">
        <f>IF(C14=$AG$11,$AG$11,#N/A)</f>
        <v>Step 1</v>
      </c>
      <c r="AH14" t="str">
        <f>IF(ISNUMBER(SEARCH($AH$11,C14)),$AH$11,"")</f>
        <v/>
      </c>
      <c r="AI14" t="str">
        <f>IF(ISNUMBER(SEARCH($AI$11,C14)),$AI$11,"")</f>
        <v/>
      </c>
      <c r="AJ14" t="str">
        <f>IF(ISNUMBER(SEARCH($AJ$11,C14)),$AJ$11,"")</f>
        <v/>
      </c>
      <c r="AK14" t="str">
        <f>IF(ISNUMBER(SEARCH($AK$11,C14)),$AK$11,"")</f>
        <v/>
      </c>
      <c r="AL14" t="str">
        <f>IF(ISNUMBER(SEARCH($AL$11,C14)),$AL$11,"")</f>
        <v/>
      </c>
      <c r="AM14" t="str">
        <f>IF(ISNUMBER(SEARCH($AM$11,C14)),$AM$11,"")</f>
        <v/>
      </c>
      <c r="AN14" t="str">
        <f t="shared" ref="AN14:AN77" si="2">IF(ISNUMBER(SEARCH($AN$11,C14)),$AN$11,"")</f>
        <v/>
      </c>
      <c r="AO14" t="str">
        <f t="shared" ref="AO14:AO77" si="3">IF(ISNUMBER(SEARCH($AO$11,C14)),$AO$11,"")</f>
        <v/>
      </c>
      <c r="AQ14" t="e">
        <f t="shared" ref="AQ14:AQ77" si="4">IF(D14=$AQ$11,$AQ$11,#N/A)</f>
        <v>#N/A</v>
      </c>
      <c r="AR14" t="str">
        <f t="shared" ref="AR14:AR77" si="5">IF(ISNUMBER(SEARCH($AR$11,D14)),$AR$11,"")</f>
        <v>Step 2</v>
      </c>
      <c r="AS14" t="str">
        <f t="shared" ref="AS14:AS77" si="6">IF(ISNUMBER(SEARCH($AS$11,D14)),$AS$11,"")</f>
        <v/>
      </c>
      <c r="AT14" t="str">
        <f t="shared" ref="AT14:AT77" si="7">IF(ISNUMBER(SEARCH($AT$11,D14)),$AT$11,"")</f>
        <v/>
      </c>
      <c r="AU14" t="str">
        <f t="shared" ref="AU14:AU77" si="8">IF(ISNUMBER(SEARCH($AU$11,D14)),$AU$11,"")</f>
        <v/>
      </c>
      <c r="AV14" t="str">
        <f t="shared" ref="AV14:AV77" si="9">IF(ISNUMBER(SEARCH($AV$11,D14)),$AV$11,"")</f>
        <v/>
      </c>
      <c r="AW14" t="str">
        <f t="shared" ref="AW14:AW77" si="10">IF(ISNUMBER(SEARCH($AW$11,D14)),$AW$11,"")</f>
        <v/>
      </c>
      <c r="AX14" t="str">
        <f t="shared" ref="AX14:AX77" si="11">IF(ISNUMBER(SEARCH($AX$11,D14)),$AX$11,"")</f>
        <v/>
      </c>
      <c r="AY14" t="str">
        <f t="shared" ref="AY14:AY77" si="12">IF(ISNUMBER(SEARCH($AY$11,D14)),$AY$11,"")</f>
        <v/>
      </c>
    </row>
    <row r="15" spans="1:51" x14ac:dyDescent="0.3">
      <c r="A15" s="16" t="s">
        <v>67</v>
      </c>
      <c r="B15" s="16" t="s">
        <v>227</v>
      </c>
      <c r="C15" s="16" t="s">
        <v>229</v>
      </c>
      <c r="D15" s="16" t="s">
        <v>227</v>
      </c>
      <c r="O15" t="s">
        <v>22</v>
      </c>
      <c r="P15">
        <f>COUNTIF(B13:B133,R6)</f>
        <v>15</v>
      </c>
      <c r="Q15">
        <f>COUNTIF(C13:C133,R6)</f>
        <v>17</v>
      </c>
      <c r="R15">
        <f>COUNTIF(D13:D133,R6)</f>
        <v>12</v>
      </c>
      <c r="W15" t="e">
        <f t="shared" ref="W15:W78" si="13">IF(B15=$W$11,$W$11,#N/A)</f>
        <v>#N/A</v>
      </c>
      <c r="X15" t="str">
        <f t="shared" ref="X15:X78" si="14">IF(ISNUMBER(SEARCH($X$11,B15)),$X$11,"")</f>
        <v/>
      </c>
      <c r="Y15" t="str">
        <f t="shared" ref="Y15:Y78" si="15">IF(ISNUMBER(SEARCH($Y$11,B15)),$Y$11,"")</f>
        <v/>
      </c>
      <c r="Z15" t="str">
        <f t="shared" ref="Z15:Z78" si="16">IF(ISNUMBER(SEARCH($Z$11,B15)),$Z$11,"")</f>
        <v/>
      </c>
      <c r="AA15" t="str">
        <f t="shared" ref="AA15:AA78" si="17">IF(ISNUMBER(SEARCH($AA$11,B15)),$AA$11,"")</f>
        <v/>
      </c>
      <c r="AB15" t="str">
        <f t="shared" ref="AB15:AB78" si="18">IF(ISNUMBER(SEARCH($AB$11,B15)),$AB$11,"")</f>
        <v/>
      </c>
      <c r="AC15" t="str">
        <f t="shared" ref="AC15:AC78" si="19">IF(ISNUMBER(SEARCH($AC$11,B15)),$AC$11,"")</f>
        <v>Step 7</v>
      </c>
      <c r="AD15" t="str">
        <f t="shared" ref="AD15:AD78" si="20">IF(ISNUMBER(SEARCH($AD$11,B15)),$AD$11,"")</f>
        <v/>
      </c>
      <c r="AE15" t="str">
        <f t="shared" si="1"/>
        <v/>
      </c>
      <c r="AG15" t="e">
        <f t="shared" ref="AG15:AG78" si="21">IF(C15=$AG$11,$AG$11,#N/A)</f>
        <v>#N/A</v>
      </c>
      <c r="AH15" t="str">
        <f t="shared" ref="AH15:AH78" si="22">IF(ISNUMBER(SEARCH($AH$11,C15)),$AH$11,"")</f>
        <v/>
      </c>
      <c r="AI15" t="str">
        <f t="shared" ref="AI15:AI78" si="23">IF(ISNUMBER(SEARCH($AI$11,C15)),$AI$11,"")</f>
        <v/>
      </c>
      <c r="AJ15" t="str">
        <f t="shared" ref="AJ15:AJ78" si="24">IF(ISNUMBER(SEARCH($AJ$11,C15)),$AJ$11,"")</f>
        <v/>
      </c>
      <c r="AK15" t="str">
        <f t="shared" ref="AK15:AK78" si="25">IF(ISNUMBER(SEARCH($AK$11,C15)),$AK$11,"")</f>
        <v/>
      </c>
      <c r="AL15" t="str">
        <f t="shared" ref="AL15:AL78" si="26">IF(ISNUMBER(SEARCH($AL$11,C15)),$AL$11,"")</f>
        <v/>
      </c>
      <c r="AM15" t="str">
        <f t="shared" ref="AM15:AM78" si="27">IF(ISNUMBER(SEARCH($AM$11,C15)),$AM$11,"")</f>
        <v/>
      </c>
      <c r="AN15" t="str">
        <f t="shared" si="2"/>
        <v/>
      </c>
      <c r="AO15" t="str">
        <f t="shared" si="3"/>
        <v>Step 9</v>
      </c>
      <c r="AQ15" t="e">
        <f t="shared" si="4"/>
        <v>#N/A</v>
      </c>
      <c r="AR15" t="str">
        <f t="shared" si="5"/>
        <v/>
      </c>
      <c r="AS15" t="str">
        <f t="shared" si="6"/>
        <v/>
      </c>
      <c r="AT15" t="str">
        <f t="shared" si="7"/>
        <v/>
      </c>
      <c r="AU15" t="str">
        <f t="shared" si="8"/>
        <v/>
      </c>
      <c r="AV15" t="str">
        <f t="shared" si="9"/>
        <v/>
      </c>
      <c r="AW15" t="str">
        <f t="shared" si="10"/>
        <v>Step 7</v>
      </c>
      <c r="AX15" t="str">
        <f t="shared" si="11"/>
        <v/>
      </c>
      <c r="AY15" t="str">
        <f t="shared" si="12"/>
        <v/>
      </c>
    </row>
    <row r="16" spans="1:51" x14ac:dyDescent="0.3">
      <c r="A16" s="16" t="s">
        <v>68</v>
      </c>
      <c r="B16" s="16" t="s">
        <v>224</v>
      </c>
      <c r="C16" s="16" t="s">
        <v>229</v>
      </c>
      <c r="D16" s="16" t="s">
        <v>222</v>
      </c>
      <c r="O16" t="s">
        <v>41</v>
      </c>
      <c r="P16">
        <f>P17-P13-P14-P15</f>
        <v>69</v>
      </c>
      <c r="Q16">
        <f t="shared" ref="Q16:R16" si="28">Q17-Q13-Q14-Q15</f>
        <v>77</v>
      </c>
      <c r="R16">
        <f t="shared" si="28"/>
        <v>78</v>
      </c>
      <c r="W16" t="e">
        <f t="shared" si="13"/>
        <v>#N/A</v>
      </c>
      <c r="X16" t="str">
        <f t="shared" si="14"/>
        <v/>
      </c>
      <c r="Y16" t="str">
        <f t="shared" si="15"/>
        <v/>
      </c>
      <c r="Z16" t="str">
        <f t="shared" si="16"/>
        <v>Step 4</v>
      </c>
      <c r="AA16" t="str">
        <f t="shared" si="17"/>
        <v/>
      </c>
      <c r="AB16" t="str">
        <f t="shared" si="18"/>
        <v/>
      </c>
      <c r="AC16" t="str">
        <f t="shared" si="19"/>
        <v/>
      </c>
      <c r="AD16" t="str">
        <f t="shared" si="20"/>
        <v/>
      </c>
      <c r="AE16" t="str">
        <f t="shared" si="1"/>
        <v/>
      </c>
      <c r="AG16" t="e">
        <f t="shared" si="21"/>
        <v>#N/A</v>
      </c>
      <c r="AH16" t="str">
        <f t="shared" si="22"/>
        <v/>
      </c>
      <c r="AI16" t="str">
        <f t="shared" si="23"/>
        <v/>
      </c>
      <c r="AJ16" t="str">
        <f t="shared" si="24"/>
        <v/>
      </c>
      <c r="AK16" t="str">
        <f t="shared" si="25"/>
        <v/>
      </c>
      <c r="AL16" t="str">
        <f t="shared" si="26"/>
        <v/>
      </c>
      <c r="AM16" t="str">
        <f t="shared" si="27"/>
        <v/>
      </c>
      <c r="AN16" t="str">
        <f t="shared" si="2"/>
        <v/>
      </c>
      <c r="AO16" t="str">
        <f t="shared" si="3"/>
        <v>Step 9</v>
      </c>
      <c r="AQ16" t="e">
        <f t="shared" si="4"/>
        <v>#N/A</v>
      </c>
      <c r="AR16" t="str">
        <f t="shared" si="5"/>
        <v>Step 2</v>
      </c>
      <c r="AS16" t="str">
        <f t="shared" si="6"/>
        <v/>
      </c>
      <c r="AT16" t="str">
        <f t="shared" si="7"/>
        <v/>
      </c>
      <c r="AU16" t="str">
        <f t="shared" si="8"/>
        <v/>
      </c>
      <c r="AV16" t="str">
        <f t="shared" si="9"/>
        <v/>
      </c>
      <c r="AW16" t="str">
        <f t="shared" si="10"/>
        <v/>
      </c>
      <c r="AX16" t="str">
        <f t="shared" si="11"/>
        <v/>
      </c>
      <c r="AY16" t="str">
        <f t="shared" si="12"/>
        <v/>
      </c>
    </row>
    <row r="17" spans="1:51" x14ac:dyDescent="0.3">
      <c r="A17" s="16" t="s">
        <v>69</v>
      </c>
      <c r="B17" s="16" t="s">
        <v>226</v>
      </c>
      <c r="C17" s="16" t="s">
        <v>228</v>
      </c>
      <c r="D17" s="16" t="s">
        <v>223</v>
      </c>
      <c r="O17" t="s">
        <v>31</v>
      </c>
      <c r="P17">
        <f>IF(VLOOKUP($R$7,$A$13:$A$134,1,FALSE)=$R$7,COUNTA($A$13:$A$134)-1,COUNTA($A$13:$A$134))</f>
        <v>121</v>
      </c>
      <c r="Q17">
        <f>IF(VLOOKUP($R$7,$A$13:$A$134,1,FALSE)=$R$7,COUNTA($A$13:$A$134)-1,COUNTA($A$13:$A$134))</f>
        <v>121</v>
      </c>
      <c r="R17">
        <f>IF(VLOOKUP($R$7,$A$13:$A$134,1,FALSE)=$R$7,COUNTA($A$13:$A$134)-1,COUNTA($A$13:$A$134))</f>
        <v>121</v>
      </c>
      <c r="W17" t="e">
        <f t="shared" si="13"/>
        <v>#N/A</v>
      </c>
      <c r="X17" t="str">
        <f t="shared" si="14"/>
        <v/>
      </c>
      <c r="Y17" t="str">
        <f t="shared" si="15"/>
        <v/>
      </c>
      <c r="Z17" t="str">
        <f t="shared" si="16"/>
        <v/>
      </c>
      <c r="AA17" t="str">
        <f t="shared" si="17"/>
        <v/>
      </c>
      <c r="AB17" t="str">
        <f t="shared" si="18"/>
        <v>Step 6</v>
      </c>
      <c r="AC17" t="str">
        <f t="shared" si="19"/>
        <v/>
      </c>
      <c r="AD17" t="str">
        <f t="shared" si="20"/>
        <v/>
      </c>
      <c r="AE17" t="str">
        <f t="shared" si="1"/>
        <v/>
      </c>
      <c r="AG17" t="e">
        <f t="shared" si="21"/>
        <v>#N/A</v>
      </c>
      <c r="AH17" t="str">
        <f t="shared" si="22"/>
        <v/>
      </c>
      <c r="AI17" t="str">
        <f t="shared" si="23"/>
        <v/>
      </c>
      <c r="AJ17" t="str">
        <f t="shared" si="24"/>
        <v/>
      </c>
      <c r="AK17" t="str">
        <f t="shared" si="25"/>
        <v/>
      </c>
      <c r="AL17" t="str">
        <f t="shared" si="26"/>
        <v/>
      </c>
      <c r="AM17" t="str">
        <f t="shared" si="27"/>
        <v/>
      </c>
      <c r="AN17" t="str">
        <f t="shared" si="2"/>
        <v>Step 8</v>
      </c>
      <c r="AO17" t="str">
        <f t="shared" si="3"/>
        <v/>
      </c>
      <c r="AQ17" t="e">
        <f t="shared" si="4"/>
        <v>#N/A</v>
      </c>
      <c r="AR17" t="str">
        <f t="shared" si="5"/>
        <v/>
      </c>
      <c r="AS17" t="str">
        <f t="shared" si="6"/>
        <v>Step 3</v>
      </c>
      <c r="AT17" t="str">
        <f t="shared" si="7"/>
        <v/>
      </c>
      <c r="AU17" t="str">
        <f t="shared" si="8"/>
        <v/>
      </c>
      <c r="AV17" t="str">
        <f t="shared" si="9"/>
        <v/>
      </c>
      <c r="AW17" t="str">
        <f t="shared" si="10"/>
        <v/>
      </c>
      <c r="AX17" t="str">
        <f t="shared" si="11"/>
        <v/>
      </c>
      <c r="AY17" t="str">
        <f t="shared" si="12"/>
        <v/>
      </c>
    </row>
    <row r="18" spans="1:51" x14ac:dyDescent="0.3">
      <c r="A18" s="16" t="s">
        <v>70</v>
      </c>
      <c r="B18" s="16" t="s">
        <v>223</v>
      </c>
      <c r="C18" s="16" t="s">
        <v>226</v>
      </c>
      <c r="D18" s="16" t="s">
        <v>227</v>
      </c>
      <c r="W18" t="e">
        <f t="shared" si="13"/>
        <v>#N/A</v>
      </c>
      <c r="X18" t="str">
        <f t="shared" si="14"/>
        <v/>
      </c>
      <c r="Y18" t="str">
        <f t="shared" si="15"/>
        <v>Step 3</v>
      </c>
      <c r="Z18" t="str">
        <f t="shared" si="16"/>
        <v/>
      </c>
      <c r="AA18" t="str">
        <f t="shared" si="17"/>
        <v/>
      </c>
      <c r="AB18" t="str">
        <f t="shared" si="18"/>
        <v/>
      </c>
      <c r="AC18" t="str">
        <f t="shared" si="19"/>
        <v/>
      </c>
      <c r="AD18" t="str">
        <f t="shared" si="20"/>
        <v/>
      </c>
      <c r="AE18" t="str">
        <f t="shared" si="1"/>
        <v/>
      </c>
      <c r="AG18" t="e">
        <f t="shared" si="21"/>
        <v>#N/A</v>
      </c>
      <c r="AH18" t="str">
        <f t="shared" si="22"/>
        <v/>
      </c>
      <c r="AI18" t="str">
        <f t="shared" si="23"/>
        <v/>
      </c>
      <c r="AJ18" t="str">
        <f t="shared" si="24"/>
        <v/>
      </c>
      <c r="AK18" t="str">
        <f t="shared" si="25"/>
        <v/>
      </c>
      <c r="AL18" t="str">
        <f t="shared" si="26"/>
        <v>Step 6</v>
      </c>
      <c r="AM18" t="str">
        <f t="shared" si="27"/>
        <v/>
      </c>
      <c r="AN18" t="str">
        <f t="shared" si="2"/>
        <v/>
      </c>
      <c r="AO18" t="str">
        <f t="shared" si="3"/>
        <v/>
      </c>
      <c r="AQ18" t="e">
        <f t="shared" si="4"/>
        <v>#N/A</v>
      </c>
      <c r="AR18" t="str">
        <f t="shared" si="5"/>
        <v/>
      </c>
      <c r="AS18" t="str">
        <f t="shared" si="6"/>
        <v/>
      </c>
      <c r="AT18" t="str">
        <f t="shared" si="7"/>
        <v/>
      </c>
      <c r="AU18" t="str">
        <f t="shared" si="8"/>
        <v/>
      </c>
      <c r="AV18" t="str">
        <f t="shared" si="9"/>
        <v/>
      </c>
      <c r="AW18" t="str">
        <f t="shared" si="10"/>
        <v>Step 7</v>
      </c>
      <c r="AX18" t="str">
        <f t="shared" si="11"/>
        <v/>
      </c>
      <c r="AY18" t="str">
        <f t="shared" si="12"/>
        <v/>
      </c>
    </row>
    <row r="19" spans="1:51" x14ac:dyDescent="0.3">
      <c r="A19" s="16" t="s">
        <v>71</v>
      </c>
      <c r="B19" s="16" t="s">
        <v>223</v>
      </c>
      <c r="C19" s="16" t="s">
        <v>221</v>
      </c>
      <c r="D19" s="16" t="s">
        <v>228</v>
      </c>
      <c r="W19" t="e">
        <f t="shared" si="13"/>
        <v>#N/A</v>
      </c>
      <c r="X19" t="str">
        <f t="shared" si="14"/>
        <v/>
      </c>
      <c r="Y19" t="str">
        <f t="shared" si="15"/>
        <v>Step 3</v>
      </c>
      <c r="Z19" t="str">
        <f t="shared" si="16"/>
        <v/>
      </c>
      <c r="AA19" t="str">
        <f t="shared" si="17"/>
        <v/>
      </c>
      <c r="AB19" t="str">
        <f t="shared" si="18"/>
        <v/>
      </c>
      <c r="AC19" t="str">
        <f t="shared" si="19"/>
        <v/>
      </c>
      <c r="AD19" t="str">
        <f t="shared" si="20"/>
        <v/>
      </c>
      <c r="AE19" t="str">
        <f t="shared" si="1"/>
        <v/>
      </c>
      <c r="AG19" t="str">
        <f t="shared" si="21"/>
        <v>Step 1</v>
      </c>
      <c r="AH19" t="str">
        <f t="shared" si="22"/>
        <v/>
      </c>
      <c r="AI19" t="str">
        <f t="shared" si="23"/>
        <v/>
      </c>
      <c r="AJ19" t="str">
        <f t="shared" si="24"/>
        <v/>
      </c>
      <c r="AK19" t="str">
        <f t="shared" si="25"/>
        <v/>
      </c>
      <c r="AL19" t="str">
        <f t="shared" si="26"/>
        <v/>
      </c>
      <c r="AM19" t="str">
        <f t="shared" si="27"/>
        <v/>
      </c>
      <c r="AN19" t="str">
        <f t="shared" si="2"/>
        <v/>
      </c>
      <c r="AO19" t="str">
        <f t="shared" si="3"/>
        <v/>
      </c>
      <c r="AQ19" t="e">
        <f t="shared" si="4"/>
        <v>#N/A</v>
      </c>
      <c r="AR19" t="str">
        <f t="shared" si="5"/>
        <v/>
      </c>
      <c r="AS19" t="str">
        <f t="shared" si="6"/>
        <v/>
      </c>
      <c r="AT19" t="str">
        <f t="shared" si="7"/>
        <v/>
      </c>
      <c r="AU19" t="str">
        <f t="shared" si="8"/>
        <v/>
      </c>
      <c r="AV19" t="str">
        <f t="shared" si="9"/>
        <v/>
      </c>
      <c r="AW19" t="str">
        <f t="shared" si="10"/>
        <v/>
      </c>
      <c r="AX19" t="str">
        <f t="shared" si="11"/>
        <v>Step 8</v>
      </c>
      <c r="AY19" t="str">
        <f t="shared" si="12"/>
        <v/>
      </c>
    </row>
    <row r="20" spans="1:51" x14ac:dyDescent="0.3">
      <c r="A20" s="16" t="s">
        <v>72</v>
      </c>
      <c r="B20" s="16" t="s">
        <v>227</v>
      </c>
      <c r="C20" s="16" t="s">
        <v>225</v>
      </c>
      <c r="D20" s="16" t="s">
        <v>228</v>
      </c>
      <c r="W20" t="e">
        <f t="shared" si="13"/>
        <v>#N/A</v>
      </c>
      <c r="X20" t="str">
        <f t="shared" si="14"/>
        <v/>
      </c>
      <c r="Y20" t="str">
        <f t="shared" si="15"/>
        <v/>
      </c>
      <c r="Z20" t="str">
        <f t="shared" si="16"/>
        <v/>
      </c>
      <c r="AA20" t="str">
        <f t="shared" si="17"/>
        <v/>
      </c>
      <c r="AB20" t="str">
        <f t="shared" si="18"/>
        <v/>
      </c>
      <c r="AC20" t="str">
        <f t="shared" si="19"/>
        <v>Step 7</v>
      </c>
      <c r="AD20" t="str">
        <f t="shared" si="20"/>
        <v/>
      </c>
      <c r="AE20" t="str">
        <f t="shared" si="1"/>
        <v/>
      </c>
      <c r="AG20" t="e">
        <f t="shared" si="21"/>
        <v>#N/A</v>
      </c>
      <c r="AH20" t="str">
        <f t="shared" si="22"/>
        <v/>
      </c>
      <c r="AI20" t="str">
        <f t="shared" si="23"/>
        <v/>
      </c>
      <c r="AJ20" t="str">
        <f t="shared" si="24"/>
        <v/>
      </c>
      <c r="AK20" t="str">
        <f t="shared" si="25"/>
        <v>Step 5</v>
      </c>
      <c r="AL20" t="str">
        <f t="shared" si="26"/>
        <v/>
      </c>
      <c r="AM20" t="str">
        <f t="shared" si="27"/>
        <v/>
      </c>
      <c r="AN20" t="str">
        <f t="shared" si="2"/>
        <v/>
      </c>
      <c r="AO20" t="str">
        <f t="shared" si="3"/>
        <v/>
      </c>
      <c r="AQ20" t="e">
        <f t="shared" si="4"/>
        <v>#N/A</v>
      </c>
      <c r="AR20" t="str">
        <f t="shared" si="5"/>
        <v/>
      </c>
      <c r="AS20" t="str">
        <f t="shared" si="6"/>
        <v/>
      </c>
      <c r="AT20" t="str">
        <f t="shared" si="7"/>
        <v/>
      </c>
      <c r="AU20" t="str">
        <f t="shared" si="8"/>
        <v/>
      </c>
      <c r="AV20" t="str">
        <f t="shared" si="9"/>
        <v/>
      </c>
      <c r="AW20" t="str">
        <f t="shared" si="10"/>
        <v/>
      </c>
      <c r="AX20" t="str">
        <f t="shared" si="11"/>
        <v>Step 8</v>
      </c>
      <c r="AY20" t="str">
        <f t="shared" si="12"/>
        <v/>
      </c>
    </row>
    <row r="21" spans="1:51" x14ac:dyDescent="0.3">
      <c r="A21" s="16" t="s">
        <v>73</v>
      </c>
      <c r="B21" s="16" t="s">
        <v>229</v>
      </c>
      <c r="C21" s="16" t="s">
        <v>227</v>
      </c>
      <c r="D21" s="16" t="s">
        <v>226</v>
      </c>
      <c r="W21" t="e">
        <f t="shared" si="13"/>
        <v>#N/A</v>
      </c>
      <c r="X21" t="str">
        <f t="shared" si="14"/>
        <v/>
      </c>
      <c r="Y21" t="str">
        <f t="shared" si="15"/>
        <v/>
      </c>
      <c r="Z21" t="str">
        <f t="shared" si="16"/>
        <v/>
      </c>
      <c r="AA21" t="str">
        <f t="shared" si="17"/>
        <v/>
      </c>
      <c r="AB21" t="str">
        <f t="shared" si="18"/>
        <v/>
      </c>
      <c r="AC21" t="str">
        <f t="shared" si="19"/>
        <v/>
      </c>
      <c r="AD21" t="str">
        <f t="shared" si="20"/>
        <v/>
      </c>
      <c r="AE21" t="str">
        <f t="shared" si="1"/>
        <v>Step 9</v>
      </c>
      <c r="AG21" t="e">
        <f t="shared" si="21"/>
        <v>#N/A</v>
      </c>
      <c r="AH21" t="str">
        <f t="shared" si="22"/>
        <v/>
      </c>
      <c r="AI21" t="str">
        <f t="shared" si="23"/>
        <v/>
      </c>
      <c r="AJ21" t="str">
        <f t="shared" si="24"/>
        <v/>
      </c>
      <c r="AK21" t="str">
        <f t="shared" si="25"/>
        <v/>
      </c>
      <c r="AL21" t="str">
        <f t="shared" si="26"/>
        <v/>
      </c>
      <c r="AM21" t="str">
        <f t="shared" si="27"/>
        <v>Step 7</v>
      </c>
      <c r="AN21" t="str">
        <f t="shared" si="2"/>
        <v/>
      </c>
      <c r="AO21" t="str">
        <f t="shared" si="3"/>
        <v/>
      </c>
      <c r="AQ21" t="e">
        <f t="shared" si="4"/>
        <v>#N/A</v>
      </c>
      <c r="AR21" t="str">
        <f t="shared" si="5"/>
        <v/>
      </c>
      <c r="AS21" t="str">
        <f t="shared" si="6"/>
        <v/>
      </c>
      <c r="AT21" t="str">
        <f t="shared" si="7"/>
        <v/>
      </c>
      <c r="AU21" t="str">
        <f t="shared" si="8"/>
        <v/>
      </c>
      <c r="AV21" t="str">
        <f t="shared" si="9"/>
        <v>Step 6</v>
      </c>
      <c r="AW21" t="str">
        <f t="shared" si="10"/>
        <v/>
      </c>
      <c r="AX21" t="str">
        <f t="shared" si="11"/>
        <v/>
      </c>
      <c r="AY21" t="str">
        <f t="shared" si="12"/>
        <v/>
      </c>
    </row>
    <row r="22" spans="1:51" x14ac:dyDescent="0.3">
      <c r="A22" s="16" t="s">
        <v>74</v>
      </c>
      <c r="B22" s="16" t="s">
        <v>228</v>
      </c>
      <c r="C22" s="16" t="s">
        <v>221</v>
      </c>
      <c r="D22" s="16" t="s">
        <v>227</v>
      </c>
      <c r="W22" t="e">
        <f t="shared" si="13"/>
        <v>#N/A</v>
      </c>
      <c r="X22" t="str">
        <f t="shared" si="14"/>
        <v/>
      </c>
      <c r="Y22" t="str">
        <f t="shared" si="15"/>
        <v/>
      </c>
      <c r="Z22" t="str">
        <f t="shared" si="16"/>
        <v/>
      </c>
      <c r="AA22" t="str">
        <f t="shared" si="17"/>
        <v/>
      </c>
      <c r="AB22" t="str">
        <f t="shared" si="18"/>
        <v/>
      </c>
      <c r="AC22" t="str">
        <f t="shared" si="19"/>
        <v/>
      </c>
      <c r="AD22" t="str">
        <f t="shared" si="20"/>
        <v>Step 8</v>
      </c>
      <c r="AE22" t="str">
        <f t="shared" si="1"/>
        <v/>
      </c>
      <c r="AG22" t="str">
        <f t="shared" si="21"/>
        <v>Step 1</v>
      </c>
      <c r="AH22" t="str">
        <f t="shared" si="22"/>
        <v/>
      </c>
      <c r="AI22" t="str">
        <f t="shared" si="23"/>
        <v/>
      </c>
      <c r="AJ22" t="str">
        <f t="shared" si="24"/>
        <v/>
      </c>
      <c r="AK22" t="str">
        <f t="shared" si="25"/>
        <v/>
      </c>
      <c r="AL22" t="str">
        <f t="shared" si="26"/>
        <v/>
      </c>
      <c r="AM22" t="str">
        <f t="shared" si="27"/>
        <v/>
      </c>
      <c r="AN22" t="str">
        <f t="shared" si="2"/>
        <v/>
      </c>
      <c r="AO22" t="str">
        <f t="shared" si="3"/>
        <v/>
      </c>
      <c r="AQ22" t="e">
        <f t="shared" si="4"/>
        <v>#N/A</v>
      </c>
      <c r="AR22" t="str">
        <f t="shared" si="5"/>
        <v/>
      </c>
      <c r="AS22" t="str">
        <f t="shared" si="6"/>
        <v/>
      </c>
      <c r="AT22" t="str">
        <f t="shared" si="7"/>
        <v/>
      </c>
      <c r="AU22" t="str">
        <f t="shared" si="8"/>
        <v/>
      </c>
      <c r="AV22" t="str">
        <f t="shared" si="9"/>
        <v/>
      </c>
      <c r="AW22" t="str">
        <f t="shared" si="10"/>
        <v>Step 7</v>
      </c>
      <c r="AX22" t="str">
        <f t="shared" si="11"/>
        <v/>
      </c>
      <c r="AY22" t="str">
        <f t="shared" si="12"/>
        <v/>
      </c>
    </row>
    <row r="23" spans="1:51" x14ac:dyDescent="0.3">
      <c r="A23" s="16" t="s">
        <v>75</v>
      </c>
      <c r="B23" s="16" t="s">
        <v>224</v>
      </c>
      <c r="C23" s="16" t="s">
        <v>221</v>
      </c>
      <c r="D23" s="16" t="s">
        <v>228</v>
      </c>
      <c r="W23" t="e">
        <f t="shared" si="13"/>
        <v>#N/A</v>
      </c>
      <c r="X23" t="str">
        <f t="shared" si="14"/>
        <v/>
      </c>
      <c r="Y23" t="str">
        <f t="shared" si="15"/>
        <v/>
      </c>
      <c r="Z23" t="str">
        <f t="shared" si="16"/>
        <v>Step 4</v>
      </c>
      <c r="AA23" t="str">
        <f t="shared" si="17"/>
        <v/>
      </c>
      <c r="AB23" t="str">
        <f t="shared" si="18"/>
        <v/>
      </c>
      <c r="AC23" t="str">
        <f t="shared" si="19"/>
        <v/>
      </c>
      <c r="AD23" t="str">
        <f t="shared" si="20"/>
        <v/>
      </c>
      <c r="AE23" t="str">
        <f t="shared" si="1"/>
        <v/>
      </c>
      <c r="AG23" t="str">
        <f t="shared" si="21"/>
        <v>Step 1</v>
      </c>
      <c r="AH23" t="str">
        <f t="shared" si="22"/>
        <v/>
      </c>
      <c r="AI23" t="str">
        <f t="shared" si="23"/>
        <v/>
      </c>
      <c r="AJ23" t="str">
        <f t="shared" si="24"/>
        <v/>
      </c>
      <c r="AK23" t="str">
        <f t="shared" si="25"/>
        <v/>
      </c>
      <c r="AL23" t="str">
        <f t="shared" si="26"/>
        <v/>
      </c>
      <c r="AM23" t="str">
        <f t="shared" si="27"/>
        <v/>
      </c>
      <c r="AN23" t="str">
        <f t="shared" si="2"/>
        <v/>
      </c>
      <c r="AO23" t="str">
        <f t="shared" si="3"/>
        <v/>
      </c>
      <c r="AQ23" t="e">
        <f t="shared" si="4"/>
        <v>#N/A</v>
      </c>
      <c r="AR23" t="str">
        <f t="shared" si="5"/>
        <v/>
      </c>
      <c r="AS23" t="str">
        <f t="shared" si="6"/>
        <v/>
      </c>
      <c r="AT23" t="str">
        <f t="shared" si="7"/>
        <v/>
      </c>
      <c r="AU23" t="str">
        <f t="shared" si="8"/>
        <v/>
      </c>
      <c r="AV23" t="str">
        <f t="shared" si="9"/>
        <v/>
      </c>
      <c r="AW23" t="str">
        <f t="shared" si="10"/>
        <v/>
      </c>
      <c r="AX23" t="str">
        <f t="shared" si="11"/>
        <v>Step 8</v>
      </c>
      <c r="AY23" t="str">
        <f t="shared" si="12"/>
        <v/>
      </c>
    </row>
    <row r="24" spans="1:51" x14ac:dyDescent="0.3">
      <c r="A24" s="16" t="s">
        <v>76</v>
      </c>
      <c r="B24" s="16" t="s">
        <v>229</v>
      </c>
      <c r="C24" s="16" t="s">
        <v>228</v>
      </c>
      <c r="D24" s="16" t="s">
        <v>223</v>
      </c>
      <c r="W24" t="e">
        <f t="shared" si="13"/>
        <v>#N/A</v>
      </c>
      <c r="X24" t="str">
        <f t="shared" si="14"/>
        <v/>
      </c>
      <c r="Y24" t="str">
        <f t="shared" si="15"/>
        <v/>
      </c>
      <c r="Z24" t="str">
        <f t="shared" si="16"/>
        <v/>
      </c>
      <c r="AA24" t="str">
        <f t="shared" si="17"/>
        <v/>
      </c>
      <c r="AB24" t="str">
        <f t="shared" si="18"/>
        <v/>
      </c>
      <c r="AC24" t="str">
        <f t="shared" si="19"/>
        <v/>
      </c>
      <c r="AD24" t="str">
        <f t="shared" si="20"/>
        <v/>
      </c>
      <c r="AE24" t="str">
        <f t="shared" si="1"/>
        <v>Step 9</v>
      </c>
      <c r="AG24" t="e">
        <f t="shared" si="21"/>
        <v>#N/A</v>
      </c>
      <c r="AH24" t="str">
        <f t="shared" si="22"/>
        <v/>
      </c>
      <c r="AI24" t="str">
        <f t="shared" si="23"/>
        <v/>
      </c>
      <c r="AJ24" t="str">
        <f t="shared" si="24"/>
        <v/>
      </c>
      <c r="AK24" t="str">
        <f t="shared" si="25"/>
        <v/>
      </c>
      <c r="AL24" t="str">
        <f t="shared" si="26"/>
        <v/>
      </c>
      <c r="AM24" t="str">
        <f t="shared" si="27"/>
        <v/>
      </c>
      <c r="AN24" t="str">
        <f t="shared" si="2"/>
        <v>Step 8</v>
      </c>
      <c r="AO24" t="str">
        <f t="shared" si="3"/>
        <v/>
      </c>
      <c r="AQ24" t="e">
        <f t="shared" si="4"/>
        <v>#N/A</v>
      </c>
      <c r="AR24" t="str">
        <f t="shared" si="5"/>
        <v/>
      </c>
      <c r="AS24" t="str">
        <f t="shared" si="6"/>
        <v>Step 3</v>
      </c>
      <c r="AT24" t="str">
        <f t="shared" si="7"/>
        <v/>
      </c>
      <c r="AU24" t="str">
        <f t="shared" si="8"/>
        <v/>
      </c>
      <c r="AV24" t="str">
        <f t="shared" si="9"/>
        <v/>
      </c>
      <c r="AW24" t="str">
        <f t="shared" si="10"/>
        <v/>
      </c>
      <c r="AX24" t="str">
        <f t="shared" si="11"/>
        <v/>
      </c>
      <c r="AY24" t="str">
        <f t="shared" si="12"/>
        <v/>
      </c>
    </row>
    <row r="25" spans="1:51" x14ac:dyDescent="0.3">
      <c r="A25" s="16" t="s">
        <v>77</v>
      </c>
      <c r="B25" s="16" t="s">
        <v>221</v>
      </c>
      <c r="C25" s="16" t="s">
        <v>225</v>
      </c>
      <c r="D25" s="16" t="s">
        <v>227</v>
      </c>
      <c r="W25" t="str">
        <f t="shared" si="13"/>
        <v>Step 1</v>
      </c>
      <c r="X25" t="str">
        <f t="shared" si="14"/>
        <v/>
      </c>
      <c r="Y25" t="str">
        <f t="shared" si="15"/>
        <v/>
      </c>
      <c r="Z25" t="str">
        <f t="shared" si="16"/>
        <v/>
      </c>
      <c r="AA25" t="str">
        <f t="shared" si="17"/>
        <v/>
      </c>
      <c r="AB25" t="str">
        <f t="shared" si="18"/>
        <v/>
      </c>
      <c r="AC25" t="str">
        <f t="shared" si="19"/>
        <v/>
      </c>
      <c r="AD25" t="str">
        <f t="shared" si="20"/>
        <v/>
      </c>
      <c r="AE25" t="str">
        <f t="shared" si="1"/>
        <v/>
      </c>
      <c r="AG25" t="e">
        <f t="shared" si="21"/>
        <v>#N/A</v>
      </c>
      <c r="AH25" t="str">
        <f t="shared" si="22"/>
        <v/>
      </c>
      <c r="AI25" t="str">
        <f t="shared" si="23"/>
        <v/>
      </c>
      <c r="AJ25" t="str">
        <f t="shared" si="24"/>
        <v/>
      </c>
      <c r="AK25" t="str">
        <f t="shared" si="25"/>
        <v>Step 5</v>
      </c>
      <c r="AL25" t="str">
        <f t="shared" si="26"/>
        <v/>
      </c>
      <c r="AM25" t="str">
        <f t="shared" si="27"/>
        <v/>
      </c>
      <c r="AN25" t="str">
        <f t="shared" si="2"/>
        <v/>
      </c>
      <c r="AO25" t="str">
        <f t="shared" si="3"/>
        <v/>
      </c>
      <c r="AQ25" t="e">
        <f t="shared" si="4"/>
        <v>#N/A</v>
      </c>
      <c r="AR25" t="str">
        <f t="shared" si="5"/>
        <v/>
      </c>
      <c r="AS25" t="str">
        <f t="shared" si="6"/>
        <v/>
      </c>
      <c r="AT25" t="str">
        <f t="shared" si="7"/>
        <v/>
      </c>
      <c r="AU25" t="str">
        <f t="shared" si="8"/>
        <v/>
      </c>
      <c r="AV25" t="str">
        <f t="shared" si="9"/>
        <v/>
      </c>
      <c r="AW25" t="str">
        <f t="shared" si="10"/>
        <v>Step 7</v>
      </c>
      <c r="AX25" t="str">
        <f t="shared" si="11"/>
        <v/>
      </c>
      <c r="AY25" t="str">
        <f t="shared" si="12"/>
        <v/>
      </c>
    </row>
    <row r="26" spans="1:51" x14ac:dyDescent="0.3">
      <c r="A26" s="16" t="s">
        <v>78</v>
      </c>
      <c r="B26" s="16" t="s">
        <v>225</v>
      </c>
      <c r="C26" s="16" t="s">
        <v>221</v>
      </c>
      <c r="D26" s="16" t="s">
        <v>226</v>
      </c>
      <c r="W26" t="e">
        <f t="shared" si="13"/>
        <v>#N/A</v>
      </c>
      <c r="X26" t="str">
        <f t="shared" si="14"/>
        <v/>
      </c>
      <c r="Y26" t="str">
        <f t="shared" si="15"/>
        <v/>
      </c>
      <c r="Z26" t="str">
        <f t="shared" si="16"/>
        <v/>
      </c>
      <c r="AA26" t="str">
        <f t="shared" si="17"/>
        <v>Step 5</v>
      </c>
      <c r="AB26" t="str">
        <f t="shared" si="18"/>
        <v/>
      </c>
      <c r="AC26" t="str">
        <f t="shared" si="19"/>
        <v/>
      </c>
      <c r="AD26" t="str">
        <f t="shared" si="20"/>
        <v/>
      </c>
      <c r="AE26" t="str">
        <f t="shared" si="1"/>
        <v/>
      </c>
      <c r="AG26" t="str">
        <f t="shared" si="21"/>
        <v>Step 1</v>
      </c>
      <c r="AH26" t="str">
        <f t="shared" si="22"/>
        <v/>
      </c>
      <c r="AI26" t="str">
        <f t="shared" si="23"/>
        <v/>
      </c>
      <c r="AJ26" t="str">
        <f t="shared" si="24"/>
        <v/>
      </c>
      <c r="AK26" t="str">
        <f t="shared" si="25"/>
        <v/>
      </c>
      <c r="AL26" t="str">
        <f t="shared" si="26"/>
        <v/>
      </c>
      <c r="AM26" t="str">
        <f t="shared" si="27"/>
        <v/>
      </c>
      <c r="AN26" t="str">
        <f t="shared" si="2"/>
        <v/>
      </c>
      <c r="AO26" t="str">
        <f t="shared" si="3"/>
        <v/>
      </c>
      <c r="AQ26" t="e">
        <f t="shared" si="4"/>
        <v>#N/A</v>
      </c>
      <c r="AR26" t="str">
        <f t="shared" si="5"/>
        <v/>
      </c>
      <c r="AS26" t="str">
        <f t="shared" si="6"/>
        <v/>
      </c>
      <c r="AT26" t="str">
        <f t="shared" si="7"/>
        <v/>
      </c>
      <c r="AU26" t="str">
        <f t="shared" si="8"/>
        <v/>
      </c>
      <c r="AV26" t="str">
        <f t="shared" si="9"/>
        <v>Step 6</v>
      </c>
      <c r="AW26" t="str">
        <f t="shared" si="10"/>
        <v/>
      </c>
      <c r="AX26" t="str">
        <f t="shared" si="11"/>
        <v/>
      </c>
      <c r="AY26" t="str">
        <f t="shared" si="12"/>
        <v/>
      </c>
    </row>
    <row r="27" spans="1:51" x14ac:dyDescent="0.3">
      <c r="A27" s="16" t="s">
        <v>79</v>
      </c>
      <c r="B27" s="16" t="s">
        <v>229</v>
      </c>
      <c r="C27" s="16" t="s">
        <v>227</v>
      </c>
      <c r="D27" s="16" t="s">
        <v>223</v>
      </c>
      <c r="W27" t="e">
        <f t="shared" si="13"/>
        <v>#N/A</v>
      </c>
      <c r="X27" t="str">
        <f t="shared" si="14"/>
        <v/>
      </c>
      <c r="Y27" t="str">
        <f t="shared" si="15"/>
        <v/>
      </c>
      <c r="Z27" t="str">
        <f t="shared" si="16"/>
        <v/>
      </c>
      <c r="AA27" t="str">
        <f t="shared" si="17"/>
        <v/>
      </c>
      <c r="AB27" t="str">
        <f t="shared" si="18"/>
        <v/>
      </c>
      <c r="AC27" t="str">
        <f t="shared" si="19"/>
        <v/>
      </c>
      <c r="AD27" t="str">
        <f t="shared" si="20"/>
        <v/>
      </c>
      <c r="AE27" t="str">
        <f t="shared" si="1"/>
        <v>Step 9</v>
      </c>
      <c r="AG27" t="e">
        <f t="shared" si="21"/>
        <v>#N/A</v>
      </c>
      <c r="AH27" t="str">
        <f t="shared" si="22"/>
        <v/>
      </c>
      <c r="AI27" t="str">
        <f t="shared" si="23"/>
        <v/>
      </c>
      <c r="AJ27" t="str">
        <f t="shared" si="24"/>
        <v/>
      </c>
      <c r="AK27" t="str">
        <f t="shared" si="25"/>
        <v/>
      </c>
      <c r="AL27" t="str">
        <f t="shared" si="26"/>
        <v/>
      </c>
      <c r="AM27" t="str">
        <f t="shared" si="27"/>
        <v>Step 7</v>
      </c>
      <c r="AN27" t="str">
        <f t="shared" si="2"/>
        <v/>
      </c>
      <c r="AO27" t="str">
        <f t="shared" si="3"/>
        <v/>
      </c>
      <c r="AQ27" t="e">
        <f t="shared" si="4"/>
        <v>#N/A</v>
      </c>
      <c r="AR27" t="str">
        <f t="shared" si="5"/>
        <v/>
      </c>
      <c r="AS27" t="str">
        <f t="shared" si="6"/>
        <v>Step 3</v>
      </c>
      <c r="AT27" t="str">
        <f t="shared" si="7"/>
        <v/>
      </c>
      <c r="AU27" t="str">
        <f t="shared" si="8"/>
        <v/>
      </c>
      <c r="AV27" t="str">
        <f t="shared" si="9"/>
        <v/>
      </c>
      <c r="AW27" t="str">
        <f t="shared" si="10"/>
        <v/>
      </c>
      <c r="AX27" t="str">
        <f t="shared" si="11"/>
        <v/>
      </c>
      <c r="AY27" t="str">
        <f t="shared" si="12"/>
        <v/>
      </c>
    </row>
    <row r="28" spans="1:51" x14ac:dyDescent="0.3">
      <c r="A28" s="16" t="s">
        <v>80</v>
      </c>
      <c r="B28" s="16" t="s">
        <v>226</v>
      </c>
      <c r="C28" s="16" t="s">
        <v>227</v>
      </c>
      <c r="D28" s="16" t="s">
        <v>229</v>
      </c>
      <c r="W28" t="e">
        <f t="shared" si="13"/>
        <v>#N/A</v>
      </c>
      <c r="X28" t="str">
        <f t="shared" si="14"/>
        <v/>
      </c>
      <c r="Y28" t="str">
        <f t="shared" si="15"/>
        <v/>
      </c>
      <c r="Z28" t="str">
        <f t="shared" si="16"/>
        <v/>
      </c>
      <c r="AA28" t="str">
        <f t="shared" si="17"/>
        <v/>
      </c>
      <c r="AB28" t="str">
        <f t="shared" si="18"/>
        <v>Step 6</v>
      </c>
      <c r="AC28" t="str">
        <f t="shared" si="19"/>
        <v/>
      </c>
      <c r="AD28" t="str">
        <f t="shared" si="20"/>
        <v/>
      </c>
      <c r="AE28" t="str">
        <f t="shared" si="1"/>
        <v/>
      </c>
      <c r="AG28" t="e">
        <f t="shared" si="21"/>
        <v>#N/A</v>
      </c>
      <c r="AH28" t="str">
        <f t="shared" si="22"/>
        <v/>
      </c>
      <c r="AI28" t="str">
        <f t="shared" si="23"/>
        <v/>
      </c>
      <c r="AJ28" t="str">
        <f t="shared" si="24"/>
        <v/>
      </c>
      <c r="AK28" t="str">
        <f t="shared" si="25"/>
        <v/>
      </c>
      <c r="AL28" t="str">
        <f t="shared" si="26"/>
        <v/>
      </c>
      <c r="AM28" t="str">
        <f t="shared" si="27"/>
        <v>Step 7</v>
      </c>
      <c r="AN28" t="str">
        <f t="shared" si="2"/>
        <v/>
      </c>
      <c r="AO28" t="str">
        <f t="shared" si="3"/>
        <v/>
      </c>
      <c r="AQ28" t="e">
        <f t="shared" si="4"/>
        <v>#N/A</v>
      </c>
      <c r="AR28" t="str">
        <f t="shared" si="5"/>
        <v/>
      </c>
      <c r="AS28" t="str">
        <f t="shared" si="6"/>
        <v/>
      </c>
      <c r="AT28" t="str">
        <f t="shared" si="7"/>
        <v/>
      </c>
      <c r="AU28" t="str">
        <f t="shared" si="8"/>
        <v/>
      </c>
      <c r="AV28" t="str">
        <f t="shared" si="9"/>
        <v/>
      </c>
      <c r="AW28" t="str">
        <f t="shared" si="10"/>
        <v/>
      </c>
      <c r="AX28" t="str">
        <f t="shared" si="11"/>
        <v/>
      </c>
      <c r="AY28" t="str">
        <f t="shared" si="12"/>
        <v>Step 9</v>
      </c>
    </row>
    <row r="29" spans="1:51" x14ac:dyDescent="0.3">
      <c r="A29" s="16" t="s">
        <v>81</v>
      </c>
      <c r="B29" s="16" t="s">
        <v>223</v>
      </c>
      <c r="C29" s="16" t="s">
        <v>227</v>
      </c>
      <c r="D29" s="16" t="s">
        <v>223</v>
      </c>
      <c r="W29" t="e">
        <f t="shared" si="13"/>
        <v>#N/A</v>
      </c>
      <c r="X29" t="str">
        <f t="shared" si="14"/>
        <v/>
      </c>
      <c r="Y29" t="str">
        <f t="shared" si="15"/>
        <v>Step 3</v>
      </c>
      <c r="Z29" t="str">
        <f t="shared" si="16"/>
        <v/>
      </c>
      <c r="AA29" t="str">
        <f t="shared" si="17"/>
        <v/>
      </c>
      <c r="AB29" t="str">
        <f t="shared" si="18"/>
        <v/>
      </c>
      <c r="AC29" t="str">
        <f t="shared" si="19"/>
        <v/>
      </c>
      <c r="AD29" t="str">
        <f t="shared" si="20"/>
        <v/>
      </c>
      <c r="AE29" t="str">
        <f t="shared" si="1"/>
        <v/>
      </c>
      <c r="AG29" t="e">
        <f t="shared" si="21"/>
        <v>#N/A</v>
      </c>
      <c r="AH29" t="str">
        <f t="shared" si="22"/>
        <v/>
      </c>
      <c r="AI29" t="str">
        <f t="shared" si="23"/>
        <v/>
      </c>
      <c r="AJ29" t="str">
        <f t="shared" si="24"/>
        <v/>
      </c>
      <c r="AK29" t="str">
        <f t="shared" si="25"/>
        <v/>
      </c>
      <c r="AL29" t="str">
        <f t="shared" si="26"/>
        <v/>
      </c>
      <c r="AM29" t="str">
        <f t="shared" si="27"/>
        <v>Step 7</v>
      </c>
      <c r="AN29" t="str">
        <f t="shared" si="2"/>
        <v/>
      </c>
      <c r="AO29" t="str">
        <f t="shared" si="3"/>
        <v/>
      </c>
      <c r="AQ29" t="e">
        <f t="shared" si="4"/>
        <v>#N/A</v>
      </c>
      <c r="AR29" t="str">
        <f t="shared" si="5"/>
        <v/>
      </c>
      <c r="AS29" t="str">
        <f t="shared" si="6"/>
        <v>Step 3</v>
      </c>
      <c r="AT29" t="str">
        <f t="shared" si="7"/>
        <v/>
      </c>
      <c r="AU29" t="str">
        <f t="shared" si="8"/>
        <v/>
      </c>
      <c r="AV29" t="str">
        <f t="shared" si="9"/>
        <v/>
      </c>
      <c r="AW29" t="str">
        <f t="shared" si="10"/>
        <v/>
      </c>
      <c r="AX29" t="str">
        <f t="shared" si="11"/>
        <v/>
      </c>
      <c r="AY29" t="str">
        <f t="shared" si="12"/>
        <v/>
      </c>
    </row>
    <row r="30" spans="1:51" x14ac:dyDescent="0.3">
      <c r="A30" s="16" t="s">
        <v>82</v>
      </c>
      <c r="B30" s="16" t="s">
        <v>221</v>
      </c>
      <c r="C30" s="16" t="s">
        <v>222</v>
      </c>
      <c r="D30" s="16" t="s">
        <v>229</v>
      </c>
      <c r="W30" t="str">
        <f t="shared" si="13"/>
        <v>Step 1</v>
      </c>
      <c r="X30" t="str">
        <f t="shared" si="14"/>
        <v/>
      </c>
      <c r="Y30" t="str">
        <f t="shared" si="15"/>
        <v/>
      </c>
      <c r="Z30" t="str">
        <f t="shared" si="16"/>
        <v/>
      </c>
      <c r="AA30" t="str">
        <f t="shared" si="17"/>
        <v/>
      </c>
      <c r="AB30" t="str">
        <f t="shared" si="18"/>
        <v/>
      </c>
      <c r="AC30" t="str">
        <f t="shared" si="19"/>
        <v/>
      </c>
      <c r="AD30" t="str">
        <f t="shared" si="20"/>
        <v/>
      </c>
      <c r="AE30" t="str">
        <f t="shared" si="1"/>
        <v/>
      </c>
      <c r="AG30" t="e">
        <f t="shared" si="21"/>
        <v>#N/A</v>
      </c>
      <c r="AH30" t="str">
        <f t="shared" si="22"/>
        <v>Step 2</v>
      </c>
      <c r="AI30" t="str">
        <f t="shared" si="23"/>
        <v/>
      </c>
      <c r="AJ30" t="str">
        <f t="shared" si="24"/>
        <v/>
      </c>
      <c r="AK30" t="str">
        <f t="shared" si="25"/>
        <v/>
      </c>
      <c r="AL30" t="str">
        <f t="shared" si="26"/>
        <v/>
      </c>
      <c r="AM30" t="str">
        <f t="shared" si="27"/>
        <v/>
      </c>
      <c r="AN30" t="str">
        <f t="shared" si="2"/>
        <v/>
      </c>
      <c r="AO30" t="str">
        <f t="shared" si="3"/>
        <v/>
      </c>
      <c r="AQ30" t="e">
        <f t="shared" si="4"/>
        <v>#N/A</v>
      </c>
      <c r="AR30" t="str">
        <f t="shared" si="5"/>
        <v/>
      </c>
      <c r="AS30" t="str">
        <f t="shared" si="6"/>
        <v/>
      </c>
      <c r="AT30" t="str">
        <f t="shared" si="7"/>
        <v/>
      </c>
      <c r="AU30" t="str">
        <f t="shared" si="8"/>
        <v/>
      </c>
      <c r="AV30" t="str">
        <f t="shared" si="9"/>
        <v/>
      </c>
      <c r="AW30" t="str">
        <f t="shared" si="10"/>
        <v/>
      </c>
      <c r="AX30" t="str">
        <f t="shared" si="11"/>
        <v/>
      </c>
      <c r="AY30" t="str">
        <f t="shared" si="12"/>
        <v>Step 9</v>
      </c>
    </row>
    <row r="31" spans="1:51" x14ac:dyDescent="0.3">
      <c r="A31" s="16" t="s">
        <v>83</v>
      </c>
      <c r="B31" s="16" t="s">
        <v>229</v>
      </c>
      <c r="C31" s="16" t="s">
        <v>226</v>
      </c>
      <c r="D31" s="16" t="s">
        <v>221</v>
      </c>
      <c r="W31" t="e">
        <f t="shared" si="13"/>
        <v>#N/A</v>
      </c>
      <c r="X31" t="str">
        <f t="shared" si="14"/>
        <v/>
      </c>
      <c r="Y31" t="str">
        <f t="shared" si="15"/>
        <v/>
      </c>
      <c r="Z31" t="str">
        <f t="shared" si="16"/>
        <v/>
      </c>
      <c r="AA31" t="str">
        <f t="shared" si="17"/>
        <v/>
      </c>
      <c r="AB31" t="str">
        <f t="shared" si="18"/>
        <v/>
      </c>
      <c r="AC31" t="str">
        <f t="shared" si="19"/>
        <v/>
      </c>
      <c r="AD31" t="str">
        <f t="shared" si="20"/>
        <v/>
      </c>
      <c r="AE31" t="str">
        <f t="shared" si="1"/>
        <v>Step 9</v>
      </c>
      <c r="AG31" t="e">
        <f t="shared" si="21"/>
        <v>#N/A</v>
      </c>
      <c r="AH31" t="str">
        <f t="shared" si="22"/>
        <v/>
      </c>
      <c r="AI31" t="str">
        <f t="shared" si="23"/>
        <v/>
      </c>
      <c r="AJ31" t="str">
        <f t="shared" si="24"/>
        <v/>
      </c>
      <c r="AK31" t="str">
        <f t="shared" si="25"/>
        <v/>
      </c>
      <c r="AL31" t="str">
        <f t="shared" si="26"/>
        <v>Step 6</v>
      </c>
      <c r="AM31" t="str">
        <f t="shared" si="27"/>
        <v/>
      </c>
      <c r="AN31" t="str">
        <f t="shared" si="2"/>
        <v/>
      </c>
      <c r="AO31" t="str">
        <f t="shared" si="3"/>
        <v/>
      </c>
      <c r="AQ31" t="str">
        <f t="shared" si="4"/>
        <v>Step 1</v>
      </c>
      <c r="AR31" t="str">
        <f t="shared" si="5"/>
        <v/>
      </c>
      <c r="AS31" t="str">
        <f t="shared" si="6"/>
        <v/>
      </c>
      <c r="AT31" t="str">
        <f t="shared" si="7"/>
        <v/>
      </c>
      <c r="AU31" t="str">
        <f t="shared" si="8"/>
        <v/>
      </c>
      <c r="AV31" t="str">
        <f t="shared" si="9"/>
        <v/>
      </c>
      <c r="AW31" t="str">
        <f t="shared" si="10"/>
        <v/>
      </c>
      <c r="AX31" t="str">
        <f t="shared" si="11"/>
        <v/>
      </c>
      <c r="AY31" t="str">
        <f t="shared" si="12"/>
        <v/>
      </c>
    </row>
    <row r="32" spans="1:51" x14ac:dyDescent="0.3">
      <c r="A32" s="16" t="s">
        <v>84</v>
      </c>
      <c r="B32" s="16" t="s">
        <v>226</v>
      </c>
      <c r="C32" s="16" t="s">
        <v>225</v>
      </c>
      <c r="D32" s="16" t="s">
        <v>225</v>
      </c>
      <c r="W32" t="e">
        <f t="shared" si="13"/>
        <v>#N/A</v>
      </c>
      <c r="X32" t="str">
        <f t="shared" si="14"/>
        <v/>
      </c>
      <c r="Y32" t="str">
        <f t="shared" si="15"/>
        <v/>
      </c>
      <c r="Z32" t="str">
        <f t="shared" si="16"/>
        <v/>
      </c>
      <c r="AA32" t="str">
        <f t="shared" si="17"/>
        <v/>
      </c>
      <c r="AB32" t="str">
        <f t="shared" si="18"/>
        <v>Step 6</v>
      </c>
      <c r="AC32" t="str">
        <f t="shared" si="19"/>
        <v/>
      </c>
      <c r="AD32" t="str">
        <f t="shared" si="20"/>
        <v/>
      </c>
      <c r="AE32" t="str">
        <f t="shared" si="1"/>
        <v/>
      </c>
      <c r="AG32" t="e">
        <f t="shared" si="21"/>
        <v>#N/A</v>
      </c>
      <c r="AH32" t="str">
        <f t="shared" si="22"/>
        <v/>
      </c>
      <c r="AI32" t="str">
        <f t="shared" si="23"/>
        <v/>
      </c>
      <c r="AJ32" t="str">
        <f t="shared" si="24"/>
        <v/>
      </c>
      <c r="AK32" t="str">
        <f t="shared" si="25"/>
        <v>Step 5</v>
      </c>
      <c r="AL32" t="str">
        <f t="shared" si="26"/>
        <v/>
      </c>
      <c r="AM32" t="str">
        <f t="shared" si="27"/>
        <v/>
      </c>
      <c r="AN32" t="str">
        <f t="shared" si="2"/>
        <v/>
      </c>
      <c r="AO32" t="str">
        <f t="shared" si="3"/>
        <v/>
      </c>
      <c r="AQ32" t="e">
        <f t="shared" si="4"/>
        <v>#N/A</v>
      </c>
      <c r="AR32" t="str">
        <f t="shared" si="5"/>
        <v/>
      </c>
      <c r="AS32" t="str">
        <f t="shared" si="6"/>
        <v/>
      </c>
      <c r="AT32" t="str">
        <f t="shared" si="7"/>
        <v/>
      </c>
      <c r="AU32" t="str">
        <f t="shared" si="8"/>
        <v>Step 5</v>
      </c>
      <c r="AV32" t="str">
        <f t="shared" si="9"/>
        <v/>
      </c>
      <c r="AW32" t="str">
        <f t="shared" si="10"/>
        <v/>
      </c>
      <c r="AX32" t="str">
        <f t="shared" si="11"/>
        <v/>
      </c>
      <c r="AY32" t="str">
        <f t="shared" si="12"/>
        <v/>
      </c>
    </row>
    <row r="33" spans="1:51" x14ac:dyDescent="0.3">
      <c r="A33" s="16" t="s">
        <v>85</v>
      </c>
      <c r="B33" s="16" t="s">
        <v>228</v>
      </c>
      <c r="C33" s="16" t="s">
        <v>227</v>
      </c>
      <c r="D33" s="16" t="s">
        <v>225</v>
      </c>
      <c r="W33" t="e">
        <f t="shared" si="13"/>
        <v>#N/A</v>
      </c>
      <c r="X33" t="str">
        <f t="shared" si="14"/>
        <v/>
      </c>
      <c r="Y33" t="str">
        <f t="shared" si="15"/>
        <v/>
      </c>
      <c r="Z33" t="str">
        <f t="shared" si="16"/>
        <v/>
      </c>
      <c r="AA33" t="str">
        <f t="shared" si="17"/>
        <v/>
      </c>
      <c r="AB33" t="str">
        <f t="shared" si="18"/>
        <v/>
      </c>
      <c r="AC33" t="str">
        <f t="shared" si="19"/>
        <v/>
      </c>
      <c r="AD33" t="str">
        <f t="shared" si="20"/>
        <v>Step 8</v>
      </c>
      <c r="AE33" t="str">
        <f t="shared" si="1"/>
        <v/>
      </c>
      <c r="AG33" t="e">
        <f t="shared" si="21"/>
        <v>#N/A</v>
      </c>
      <c r="AH33" t="str">
        <f t="shared" si="22"/>
        <v/>
      </c>
      <c r="AI33" t="str">
        <f t="shared" si="23"/>
        <v/>
      </c>
      <c r="AJ33" t="str">
        <f t="shared" si="24"/>
        <v/>
      </c>
      <c r="AK33" t="str">
        <f t="shared" si="25"/>
        <v/>
      </c>
      <c r="AL33" t="str">
        <f t="shared" si="26"/>
        <v/>
      </c>
      <c r="AM33" t="str">
        <f t="shared" si="27"/>
        <v>Step 7</v>
      </c>
      <c r="AN33" t="str">
        <f t="shared" si="2"/>
        <v/>
      </c>
      <c r="AO33" t="str">
        <f t="shared" si="3"/>
        <v/>
      </c>
      <c r="AQ33" t="e">
        <f t="shared" si="4"/>
        <v>#N/A</v>
      </c>
      <c r="AR33" t="str">
        <f t="shared" si="5"/>
        <v/>
      </c>
      <c r="AS33" t="str">
        <f t="shared" si="6"/>
        <v/>
      </c>
      <c r="AT33" t="str">
        <f t="shared" si="7"/>
        <v/>
      </c>
      <c r="AU33" t="str">
        <f t="shared" si="8"/>
        <v>Step 5</v>
      </c>
      <c r="AV33" t="str">
        <f t="shared" si="9"/>
        <v/>
      </c>
      <c r="AW33" t="str">
        <f t="shared" si="10"/>
        <v/>
      </c>
      <c r="AX33" t="str">
        <f t="shared" si="11"/>
        <v/>
      </c>
      <c r="AY33" t="str">
        <f t="shared" si="12"/>
        <v/>
      </c>
    </row>
    <row r="34" spans="1:51" x14ac:dyDescent="0.3">
      <c r="A34" s="16" t="s">
        <v>86</v>
      </c>
      <c r="B34" s="16" t="s">
        <v>224</v>
      </c>
      <c r="C34" s="16" t="s">
        <v>225</v>
      </c>
      <c r="D34" s="16" t="s">
        <v>223</v>
      </c>
      <c r="W34" t="e">
        <f t="shared" si="13"/>
        <v>#N/A</v>
      </c>
      <c r="X34" t="str">
        <f t="shared" si="14"/>
        <v/>
      </c>
      <c r="Y34" t="str">
        <f t="shared" si="15"/>
        <v/>
      </c>
      <c r="Z34" t="str">
        <f t="shared" si="16"/>
        <v>Step 4</v>
      </c>
      <c r="AA34" t="str">
        <f t="shared" si="17"/>
        <v/>
      </c>
      <c r="AB34" t="str">
        <f t="shared" si="18"/>
        <v/>
      </c>
      <c r="AC34" t="str">
        <f t="shared" si="19"/>
        <v/>
      </c>
      <c r="AD34" t="str">
        <f t="shared" si="20"/>
        <v/>
      </c>
      <c r="AE34" t="str">
        <f t="shared" si="1"/>
        <v/>
      </c>
      <c r="AG34" t="e">
        <f t="shared" si="21"/>
        <v>#N/A</v>
      </c>
      <c r="AH34" t="str">
        <f t="shared" si="22"/>
        <v/>
      </c>
      <c r="AI34" t="str">
        <f t="shared" si="23"/>
        <v/>
      </c>
      <c r="AJ34" t="str">
        <f t="shared" si="24"/>
        <v/>
      </c>
      <c r="AK34" t="str">
        <f t="shared" si="25"/>
        <v>Step 5</v>
      </c>
      <c r="AL34" t="str">
        <f t="shared" si="26"/>
        <v/>
      </c>
      <c r="AM34" t="str">
        <f t="shared" si="27"/>
        <v/>
      </c>
      <c r="AN34" t="str">
        <f t="shared" si="2"/>
        <v/>
      </c>
      <c r="AO34" t="str">
        <f t="shared" si="3"/>
        <v/>
      </c>
      <c r="AQ34" t="e">
        <f t="shared" si="4"/>
        <v>#N/A</v>
      </c>
      <c r="AR34" t="str">
        <f t="shared" si="5"/>
        <v/>
      </c>
      <c r="AS34" t="str">
        <f t="shared" si="6"/>
        <v>Step 3</v>
      </c>
      <c r="AT34" t="str">
        <f t="shared" si="7"/>
        <v/>
      </c>
      <c r="AU34" t="str">
        <f t="shared" si="8"/>
        <v/>
      </c>
      <c r="AV34" t="str">
        <f t="shared" si="9"/>
        <v/>
      </c>
      <c r="AW34" t="str">
        <f t="shared" si="10"/>
        <v/>
      </c>
      <c r="AX34" t="str">
        <f t="shared" si="11"/>
        <v/>
      </c>
      <c r="AY34" t="str">
        <f t="shared" si="12"/>
        <v/>
      </c>
    </row>
    <row r="35" spans="1:51" x14ac:dyDescent="0.3">
      <c r="A35" s="16" t="s">
        <v>87</v>
      </c>
      <c r="B35" s="16" t="s">
        <v>228</v>
      </c>
      <c r="C35" s="16" t="s">
        <v>228</v>
      </c>
      <c r="D35" s="16" t="s">
        <v>225</v>
      </c>
      <c r="W35" t="e">
        <f t="shared" si="13"/>
        <v>#N/A</v>
      </c>
      <c r="X35" t="str">
        <f t="shared" si="14"/>
        <v/>
      </c>
      <c r="Y35" t="str">
        <f t="shared" si="15"/>
        <v/>
      </c>
      <c r="Z35" t="str">
        <f t="shared" si="16"/>
        <v/>
      </c>
      <c r="AA35" t="str">
        <f t="shared" si="17"/>
        <v/>
      </c>
      <c r="AB35" t="str">
        <f t="shared" si="18"/>
        <v/>
      </c>
      <c r="AC35" t="str">
        <f t="shared" si="19"/>
        <v/>
      </c>
      <c r="AD35" t="str">
        <f t="shared" si="20"/>
        <v>Step 8</v>
      </c>
      <c r="AE35" t="str">
        <f t="shared" si="1"/>
        <v/>
      </c>
      <c r="AG35" t="e">
        <f t="shared" si="21"/>
        <v>#N/A</v>
      </c>
      <c r="AH35" t="str">
        <f t="shared" si="22"/>
        <v/>
      </c>
      <c r="AI35" t="str">
        <f t="shared" si="23"/>
        <v/>
      </c>
      <c r="AJ35" t="str">
        <f t="shared" si="24"/>
        <v/>
      </c>
      <c r="AK35" t="str">
        <f t="shared" si="25"/>
        <v/>
      </c>
      <c r="AL35" t="str">
        <f t="shared" si="26"/>
        <v/>
      </c>
      <c r="AM35" t="str">
        <f t="shared" si="27"/>
        <v/>
      </c>
      <c r="AN35" t="str">
        <f t="shared" si="2"/>
        <v>Step 8</v>
      </c>
      <c r="AO35" t="str">
        <f t="shared" si="3"/>
        <v/>
      </c>
      <c r="AQ35" t="e">
        <f t="shared" si="4"/>
        <v>#N/A</v>
      </c>
      <c r="AR35" t="str">
        <f t="shared" si="5"/>
        <v/>
      </c>
      <c r="AS35" t="str">
        <f t="shared" si="6"/>
        <v/>
      </c>
      <c r="AT35" t="str">
        <f t="shared" si="7"/>
        <v/>
      </c>
      <c r="AU35" t="str">
        <f t="shared" si="8"/>
        <v>Step 5</v>
      </c>
      <c r="AV35" t="str">
        <f t="shared" si="9"/>
        <v/>
      </c>
      <c r="AW35" t="str">
        <f t="shared" si="10"/>
        <v/>
      </c>
      <c r="AX35" t="str">
        <f t="shared" si="11"/>
        <v/>
      </c>
      <c r="AY35" t="str">
        <f t="shared" si="12"/>
        <v/>
      </c>
    </row>
    <row r="36" spans="1:51" x14ac:dyDescent="0.3">
      <c r="A36" s="16" t="s">
        <v>88</v>
      </c>
      <c r="B36" s="16" t="s">
        <v>227</v>
      </c>
      <c r="C36" s="16" t="s">
        <v>223</v>
      </c>
      <c r="D36" s="16" t="s">
        <v>228</v>
      </c>
      <c r="W36" t="e">
        <f t="shared" si="13"/>
        <v>#N/A</v>
      </c>
      <c r="X36" t="str">
        <f t="shared" si="14"/>
        <v/>
      </c>
      <c r="Y36" t="str">
        <f t="shared" si="15"/>
        <v/>
      </c>
      <c r="Z36" t="str">
        <f t="shared" si="16"/>
        <v/>
      </c>
      <c r="AA36" t="str">
        <f t="shared" si="17"/>
        <v/>
      </c>
      <c r="AB36" t="str">
        <f t="shared" si="18"/>
        <v/>
      </c>
      <c r="AC36" t="str">
        <f t="shared" si="19"/>
        <v>Step 7</v>
      </c>
      <c r="AD36" t="str">
        <f t="shared" si="20"/>
        <v/>
      </c>
      <c r="AE36" t="str">
        <f t="shared" si="1"/>
        <v/>
      </c>
      <c r="AG36" t="e">
        <f t="shared" si="21"/>
        <v>#N/A</v>
      </c>
      <c r="AH36" t="str">
        <f t="shared" si="22"/>
        <v/>
      </c>
      <c r="AI36" t="str">
        <f t="shared" si="23"/>
        <v>Step 3</v>
      </c>
      <c r="AJ36" t="str">
        <f t="shared" si="24"/>
        <v/>
      </c>
      <c r="AK36" t="str">
        <f t="shared" si="25"/>
        <v/>
      </c>
      <c r="AL36" t="str">
        <f t="shared" si="26"/>
        <v/>
      </c>
      <c r="AM36" t="str">
        <f t="shared" si="27"/>
        <v/>
      </c>
      <c r="AN36" t="str">
        <f t="shared" si="2"/>
        <v/>
      </c>
      <c r="AO36" t="str">
        <f t="shared" si="3"/>
        <v/>
      </c>
      <c r="AQ36" t="e">
        <f t="shared" si="4"/>
        <v>#N/A</v>
      </c>
      <c r="AR36" t="str">
        <f t="shared" si="5"/>
        <v/>
      </c>
      <c r="AS36" t="str">
        <f t="shared" si="6"/>
        <v/>
      </c>
      <c r="AT36" t="str">
        <f t="shared" si="7"/>
        <v/>
      </c>
      <c r="AU36" t="str">
        <f t="shared" si="8"/>
        <v/>
      </c>
      <c r="AV36" t="str">
        <f t="shared" si="9"/>
        <v/>
      </c>
      <c r="AW36" t="str">
        <f t="shared" si="10"/>
        <v/>
      </c>
      <c r="AX36" t="str">
        <f t="shared" si="11"/>
        <v>Step 8</v>
      </c>
      <c r="AY36" t="str">
        <f t="shared" si="12"/>
        <v/>
      </c>
    </row>
    <row r="37" spans="1:51" x14ac:dyDescent="0.3">
      <c r="A37" s="16" t="s">
        <v>89</v>
      </c>
      <c r="B37" s="16" t="s">
        <v>222</v>
      </c>
      <c r="C37" s="16" t="s">
        <v>225</v>
      </c>
      <c r="D37" s="16" t="s">
        <v>229</v>
      </c>
      <c r="W37" t="e">
        <f t="shared" si="13"/>
        <v>#N/A</v>
      </c>
      <c r="X37" t="str">
        <f t="shared" si="14"/>
        <v>Step 2</v>
      </c>
      <c r="Y37" t="str">
        <f t="shared" si="15"/>
        <v/>
      </c>
      <c r="Z37" t="str">
        <f t="shared" si="16"/>
        <v/>
      </c>
      <c r="AA37" t="str">
        <f t="shared" si="17"/>
        <v/>
      </c>
      <c r="AB37" t="str">
        <f t="shared" si="18"/>
        <v/>
      </c>
      <c r="AC37" t="str">
        <f t="shared" si="19"/>
        <v/>
      </c>
      <c r="AD37" t="str">
        <f t="shared" si="20"/>
        <v/>
      </c>
      <c r="AE37" t="str">
        <f t="shared" si="1"/>
        <v/>
      </c>
      <c r="AG37" t="e">
        <f t="shared" si="21"/>
        <v>#N/A</v>
      </c>
      <c r="AH37" t="str">
        <f t="shared" si="22"/>
        <v/>
      </c>
      <c r="AI37" t="str">
        <f t="shared" si="23"/>
        <v/>
      </c>
      <c r="AJ37" t="str">
        <f t="shared" si="24"/>
        <v/>
      </c>
      <c r="AK37" t="str">
        <f t="shared" si="25"/>
        <v>Step 5</v>
      </c>
      <c r="AL37" t="str">
        <f t="shared" si="26"/>
        <v/>
      </c>
      <c r="AM37" t="str">
        <f t="shared" si="27"/>
        <v/>
      </c>
      <c r="AN37" t="str">
        <f t="shared" si="2"/>
        <v/>
      </c>
      <c r="AO37" t="str">
        <f t="shared" si="3"/>
        <v/>
      </c>
      <c r="AQ37" t="e">
        <f t="shared" si="4"/>
        <v>#N/A</v>
      </c>
      <c r="AR37" t="str">
        <f t="shared" si="5"/>
        <v/>
      </c>
      <c r="AS37" t="str">
        <f t="shared" si="6"/>
        <v/>
      </c>
      <c r="AT37" t="str">
        <f t="shared" si="7"/>
        <v/>
      </c>
      <c r="AU37" t="str">
        <f t="shared" si="8"/>
        <v/>
      </c>
      <c r="AV37" t="str">
        <f t="shared" si="9"/>
        <v/>
      </c>
      <c r="AW37" t="str">
        <f t="shared" si="10"/>
        <v/>
      </c>
      <c r="AX37" t="str">
        <f t="shared" si="11"/>
        <v/>
      </c>
      <c r="AY37" t="str">
        <f t="shared" si="12"/>
        <v>Step 9</v>
      </c>
    </row>
    <row r="38" spans="1:51" x14ac:dyDescent="0.3">
      <c r="A38" s="16" t="s">
        <v>90</v>
      </c>
      <c r="B38" s="16" t="s">
        <v>221</v>
      </c>
      <c r="C38" s="16" t="s">
        <v>224</v>
      </c>
      <c r="D38" s="16" t="s">
        <v>223</v>
      </c>
      <c r="W38" t="str">
        <f t="shared" si="13"/>
        <v>Step 1</v>
      </c>
      <c r="X38" t="str">
        <f t="shared" si="14"/>
        <v/>
      </c>
      <c r="Y38" t="str">
        <f t="shared" si="15"/>
        <v/>
      </c>
      <c r="Z38" t="str">
        <f t="shared" si="16"/>
        <v/>
      </c>
      <c r="AA38" t="str">
        <f t="shared" si="17"/>
        <v/>
      </c>
      <c r="AB38" t="str">
        <f t="shared" si="18"/>
        <v/>
      </c>
      <c r="AC38" t="str">
        <f t="shared" si="19"/>
        <v/>
      </c>
      <c r="AD38" t="str">
        <f t="shared" si="20"/>
        <v/>
      </c>
      <c r="AE38" t="str">
        <f t="shared" si="1"/>
        <v/>
      </c>
      <c r="AG38" t="e">
        <f t="shared" si="21"/>
        <v>#N/A</v>
      </c>
      <c r="AH38" t="str">
        <f t="shared" si="22"/>
        <v/>
      </c>
      <c r="AI38" t="str">
        <f t="shared" si="23"/>
        <v/>
      </c>
      <c r="AJ38" t="str">
        <f t="shared" si="24"/>
        <v>Step 4</v>
      </c>
      <c r="AK38" t="str">
        <f t="shared" si="25"/>
        <v/>
      </c>
      <c r="AL38" t="str">
        <f t="shared" si="26"/>
        <v/>
      </c>
      <c r="AM38" t="str">
        <f t="shared" si="27"/>
        <v/>
      </c>
      <c r="AN38" t="str">
        <f t="shared" si="2"/>
        <v/>
      </c>
      <c r="AO38" t="str">
        <f t="shared" si="3"/>
        <v/>
      </c>
      <c r="AQ38" t="e">
        <f t="shared" si="4"/>
        <v>#N/A</v>
      </c>
      <c r="AR38" t="str">
        <f t="shared" si="5"/>
        <v/>
      </c>
      <c r="AS38" t="str">
        <f t="shared" si="6"/>
        <v>Step 3</v>
      </c>
      <c r="AT38" t="str">
        <f t="shared" si="7"/>
        <v/>
      </c>
      <c r="AU38" t="str">
        <f t="shared" si="8"/>
        <v/>
      </c>
      <c r="AV38" t="str">
        <f t="shared" si="9"/>
        <v/>
      </c>
      <c r="AW38" t="str">
        <f t="shared" si="10"/>
        <v/>
      </c>
      <c r="AX38" t="str">
        <f t="shared" si="11"/>
        <v/>
      </c>
      <c r="AY38" t="str">
        <f t="shared" si="12"/>
        <v/>
      </c>
    </row>
    <row r="39" spans="1:51" x14ac:dyDescent="0.3">
      <c r="A39" s="16" t="s">
        <v>91</v>
      </c>
      <c r="B39" s="16" t="s">
        <v>221</v>
      </c>
      <c r="C39" s="16" t="s">
        <v>223</v>
      </c>
      <c r="D39" s="16" t="s">
        <v>228</v>
      </c>
      <c r="W39" t="str">
        <f t="shared" si="13"/>
        <v>Step 1</v>
      </c>
      <c r="X39" t="str">
        <f t="shared" si="14"/>
        <v/>
      </c>
      <c r="Y39" t="str">
        <f t="shared" si="15"/>
        <v/>
      </c>
      <c r="Z39" t="str">
        <f t="shared" si="16"/>
        <v/>
      </c>
      <c r="AA39" t="str">
        <f t="shared" si="17"/>
        <v/>
      </c>
      <c r="AB39" t="str">
        <f t="shared" si="18"/>
        <v/>
      </c>
      <c r="AC39" t="str">
        <f t="shared" si="19"/>
        <v/>
      </c>
      <c r="AD39" t="str">
        <f t="shared" si="20"/>
        <v/>
      </c>
      <c r="AE39" t="str">
        <f t="shared" si="1"/>
        <v/>
      </c>
      <c r="AG39" t="e">
        <f t="shared" si="21"/>
        <v>#N/A</v>
      </c>
      <c r="AH39" t="str">
        <f t="shared" si="22"/>
        <v/>
      </c>
      <c r="AI39" t="str">
        <f t="shared" si="23"/>
        <v>Step 3</v>
      </c>
      <c r="AJ39" t="str">
        <f t="shared" si="24"/>
        <v/>
      </c>
      <c r="AK39" t="str">
        <f t="shared" si="25"/>
        <v/>
      </c>
      <c r="AL39" t="str">
        <f t="shared" si="26"/>
        <v/>
      </c>
      <c r="AM39" t="str">
        <f t="shared" si="27"/>
        <v/>
      </c>
      <c r="AN39" t="str">
        <f t="shared" si="2"/>
        <v/>
      </c>
      <c r="AO39" t="str">
        <f t="shared" si="3"/>
        <v/>
      </c>
      <c r="AQ39" t="e">
        <f t="shared" si="4"/>
        <v>#N/A</v>
      </c>
      <c r="AR39" t="str">
        <f t="shared" si="5"/>
        <v/>
      </c>
      <c r="AS39" t="str">
        <f t="shared" si="6"/>
        <v/>
      </c>
      <c r="AT39" t="str">
        <f t="shared" si="7"/>
        <v/>
      </c>
      <c r="AU39" t="str">
        <f t="shared" si="8"/>
        <v/>
      </c>
      <c r="AV39" t="str">
        <f t="shared" si="9"/>
        <v/>
      </c>
      <c r="AW39" t="str">
        <f t="shared" si="10"/>
        <v/>
      </c>
      <c r="AX39" t="str">
        <f t="shared" si="11"/>
        <v>Step 8</v>
      </c>
      <c r="AY39" t="str">
        <f t="shared" si="12"/>
        <v/>
      </c>
    </row>
    <row r="40" spans="1:51" x14ac:dyDescent="0.3">
      <c r="A40" s="16" t="s">
        <v>92</v>
      </c>
      <c r="B40" s="16" t="s">
        <v>229</v>
      </c>
      <c r="C40" s="16" t="s">
        <v>224</v>
      </c>
      <c r="D40" s="16" t="s">
        <v>229</v>
      </c>
      <c r="W40" t="e">
        <f t="shared" si="13"/>
        <v>#N/A</v>
      </c>
      <c r="X40" t="str">
        <f t="shared" si="14"/>
        <v/>
      </c>
      <c r="Y40" t="str">
        <f t="shared" si="15"/>
        <v/>
      </c>
      <c r="Z40" t="str">
        <f t="shared" si="16"/>
        <v/>
      </c>
      <c r="AA40" t="str">
        <f t="shared" si="17"/>
        <v/>
      </c>
      <c r="AB40" t="str">
        <f t="shared" si="18"/>
        <v/>
      </c>
      <c r="AC40" t="str">
        <f t="shared" si="19"/>
        <v/>
      </c>
      <c r="AD40" t="str">
        <f t="shared" si="20"/>
        <v/>
      </c>
      <c r="AE40" t="str">
        <f t="shared" si="1"/>
        <v>Step 9</v>
      </c>
      <c r="AG40" t="e">
        <f t="shared" si="21"/>
        <v>#N/A</v>
      </c>
      <c r="AH40" t="str">
        <f t="shared" si="22"/>
        <v/>
      </c>
      <c r="AI40" t="str">
        <f t="shared" si="23"/>
        <v/>
      </c>
      <c r="AJ40" t="str">
        <f t="shared" si="24"/>
        <v>Step 4</v>
      </c>
      <c r="AK40" t="str">
        <f t="shared" si="25"/>
        <v/>
      </c>
      <c r="AL40" t="str">
        <f t="shared" si="26"/>
        <v/>
      </c>
      <c r="AM40" t="str">
        <f t="shared" si="27"/>
        <v/>
      </c>
      <c r="AN40" t="str">
        <f t="shared" si="2"/>
        <v/>
      </c>
      <c r="AO40" t="str">
        <f t="shared" si="3"/>
        <v/>
      </c>
      <c r="AQ40" t="e">
        <f t="shared" si="4"/>
        <v>#N/A</v>
      </c>
      <c r="AR40" t="str">
        <f t="shared" si="5"/>
        <v/>
      </c>
      <c r="AS40" t="str">
        <f t="shared" si="6"/>
        <v/>
      </c>
      <c r="AT40" t="str">
        <f t="shared" si="7"/>
        <v/>
      </c>
      <c r="AU40" t="str">
        <f t="shared" si="8"/>
        <v/>
      </c>
      <c r="AV40" t="str">
        <f t="shared" si="9"/>
        <v/>
      </c>
      <c r="AW40" t="str">
        <f t="shared" si="10"/>
        <v/>
      </c>
      <c r="AX40" t="str">
        <f t="shared" si="11"/>
        <v/>
      </c>
      <c r="AY40" t="str">
        <f t="shared" si="12"/>
        <v>Step 9</v>
      </c>
    </row>
    <row r="41" spans="1:51" x14ac:dyDescent="0.3">
      <c r="A41" s="16" t="s">
        <v>93</v>
      </c>
      <c r="B41" s="16" t="s">
        <v>224</v>
      </c>
      <c r="C41" s="16" t="s">
        <v>222</v>
      </c>
      <c r="D41" s="16" t="s">
        <v>221</v>
      </c>
      <c r="W41" t="e">
        <f t="shared" si="13"/>
        <v>#N/A</v>
      </c>
      <c r="X41" t="str">
        <f t="shared" si="14"/>
        <v/>
      </c>
      <c r="Y41" t="str">
        <f t="shared" si="15"/>
        <v/>
      </c>
      <c r="Z41" t="str">
        <f t="shared" si="16"/>
        <v>Step 4</v>
      </c>
      <c r="AA41" t="str">
        <f t="shared" si="17"/>
        <v/>
      </c>
      <c r="AB41" t="str">
        <f t="shared" si="18"/>
        <v/>
      </c>
      <c r="AC41" t="str">
        <f t="shared" si="19"/>
        <v/>
      </c>
      <c r="AD41" t="str">
        <f t="shared" si="20"/>
        <v/>
      </c>
      <c r="AE41" t="str">
        <f t="shared" si="1"/>
        <v/>
      </c>
      <c r="AG41" t="e">
        <f t="shared" si="21"/>
        <v>#N/A</v>
      </c>
      <c r="AH41" t="str">
        <f t="shared" si="22"/>
        <v>Step 2</v>
      </c>
      <c r="AI41" t="str">
        <f t="shared" si="23"/>
        <v/>
      </c>
      <c r="AJ41" t="str">
        <f t="shared" si="24"/>
        <v/>
      </c>
      <c r="AK41" t="str">
        <f t="shared" si="25"/>
        <v/>
      </c>
      <c r="AL41" t="str">
        <f t="shared" si="26"/>
        <v/>
      </c>
      <c r="AM41" t="str">
        <f t="shared" si="27"/>
        <v/>
      </c>
      <c r="AN41" t="str">
        <f t="shared" si="2"/>
        <v/>
      </c>
      <c r="AO41" t="str">
        <f t="shared" si="3"/>
        <v/>
      </c>
      <c r="AQ41" t="str">
        <f t="shared" si="4"/>
        <v>Step 1</v>
      </c>
      <c r="AR41" t="str">
        <f t="shared" si="5"/>
        <v/>
      </c>
      <c r="AS41" t="str">
        <f t="shared" si="6"/>
        <v/>
      </c>
      <c r="AT41" t="str">
        <f t="shared" si="7"/>
        <v/>
      </c>
      <c r="AU41" t="str">
        <f t="shared" si="8"/>
        <v/>
      </c>
      <c r="AV41" t="str">
        <f t="shared" si="9"/>
        <v/>
      </c>
      <c r="AW41" t="str">
        <f t="shared" si="10"/>
        <v/>
      </c>
      <c r="AX41" t="str">
        <f t="shared" si="11"/>
        <v/>
      </c>
      <c r="AY41" t="str">
        <f t="shared" si="12"/>
        <v/>
      </c>
    </row>
    <row r="42" spans="1:51" x14ac:dyDescent="0.3">
      <c r="A42" s="16" t="s">
        <v>94</v>
      </c>
      <c r="B42" s="16" t="s">
        <v>225</v>
      </c>
      <c r="C42" s="16" t="s">
        <v>229</v>
      </c>
      <c r="D42" s="16" t="s">
        <v>226</v>
      </c>
      <c r="W42" t="e">
        <f t="shared" si="13"/>
        <v>#N/A</v>
      </c>
      <c r="X42" t="str">
        <f t="shared" si="14"/>
        <v/>
      </c>
      <c r="Y42" t="str">
        <f t="shared" si="15"/>
        <v/>
      </c>
      <c r="Z42" t="str">
        <f t="shared" si="16"/>
        <v/>
      </c>
      <c r="AA42" t="str">
        <f t="shared" si="17"/>
        <v>Step 5</v>
      </c>
      <c r="AB42" t="str">
        <f t="shared" si="18"/>
        <v/>
      </c>
      <c r="AC42" t="str">
        <f t="shared" si="19"/>
        <v/>
      </c>
      <c r="AD42" t="str">
        <f t="shared" si="20"/>
        <v/>
      </c>
      <c r="AE42" t="str">
        <f t="shared" si="1"/>
        <v/>
      </c>
      <c r="AG42" t="e">
        <f t="shared" si="21"/>
        <v>#N/A</v>
      </c>
      <c r="AH42" t="str">
        <f t="shared" si="22"/>
        <v/>
      </c>
      <c r="AI42" t="str">
        <f t="shared" si="23"/>
        <v/>
      </c>
      <c r="AJ42" t="str">
        <f t="shared" si="24"/>
        <v/>
      </c>
      <c r="AK42" t="str">
        <f t="shared" si="25"/>
        <v/>
      </c>
      <c r="AL42" t="str">
        <f t="shared" si="26"/>
        <v/>
      </c>
      <c r="AM42" t="str">
        <f t="shared" si="27"/>
        <v/>
      </c>
      <c r="AN42" t="str">
        <f t="shared" si="2"/>
        <v/>
      </c>
      <c r="AO42" t="str">
        <f t="shared" si="3"/>
        <v>Step 9</v>
      </c>
      <c r="AQ42" t="e">
        <f t="shared" si="4"/>
        <v>#N/A</v>
      </c>
      <c r="AR42" t="str">
        <f t="shared" si="5"/>
        <v/>
      </c>
      <c r="AS42" t="str">
        <f t="shared" si="6"/>
        <v/>
      </c>
      <c r="AT42" t="str">
        <f t="shared" si="7"/>
        <v/>
      </c>
      <c r="AU42" t="str">
        <f t="shared" si="8"/>
        <v/>
      </c>
      <c r="AV42" t="str">
        <f t="shared" si="9"/>
        <v>Step 6</v>
      </c>
      <c r="AW42" t="str">
        <f t="shared" si="10"/>
        <v/>
      </c>
      <c r="AX42" t="str">
        <f t="shared" si="11"/>
        <v/>
      </c>
      <c r="AY42" t="str">
        <f t="shared" si="12"/>
        <v/>
      </c>
    </row>
    <row r="43" spans="1:51" x14ac:dyDescent="0.3">
      <c r="A43" s="16" t="s">
        <v>95</v>
      </c>
      <c r="B43" s="16" t="s">
        <v>229</v>
      </c>
      <c r="C43" s="16" t="s">
        <v>222</v>
      </c>
      <c r="D43" s="16" t="s">
        <v>222</v>
      </c>
      <c r="W43" t="e">
        <f t="shared" si="13"/>
        <v>#N/A</v>
      </c>
      <c r="X43" t="str">
        <f t="shared" si="14"/>
        <v/>
      </c>
      <c r="Y43" t="str">
        <f t="shared" si="15"/>
        <v/>
      </c>
      <c r="Z43" t="str">
        <f t="shared" si="16"/>
        <v/>
      </c>
      <c r="AA43" t="str">
        <f t="shared" si="17"/>
        <v/>
      </c>
      <c r="AB43" t="str">
        <f t="shared" si="18"/>
        <v/>
      </c>
      <c r="AC43" t="str">
        <f t="shared" si="19"/>
        <v/>
      </c>
      <c r="AD43" t="str">
        <f t="shared" si="20"/>
        <v/>
      </c>
      <c r="AE43" t="str">
        <f t="shared" si="1"/>
        <v>Step 9</v>
      </c>
      <c r="AG43" t="e">
        <f t="shared" si="21"/>
        <v>#N/A</v>
      </c>
      <c r="AH43" t="str">
        <f t="shared" si="22"/>
        <v>Step 2</v>
      </c>
      <c r="AI43" t="str">
        <f t="shared" si="23"/>
        <v/>
      </c>
      <c r="AJ43" t="str">
        <f t="shared" si="24"/>
        <v/>
      </c>
      <c r="AK43" t="str">
        <f t="shared" si="25"/>
        <v/>
      </c>
      <c r="AL43" t="str">
        <f t="shared" si="26"/>
        <v/>
      </c>
      <c r="AM43" t="str">
        <f t="shared" si="27"/>
        <v/>
      </c>
      <c r="AN43" t="str">
        <f t="shared" si="2"/>
        <v/>
      </c>
      <c r="AO43" t="str">
        <f t="shared" si="3"/>
        <v/>
      </c>
      <c r="AQ43" t="e">
        <f t="shared" si="4"/>
        <v>#N/A</v>
      </c>
      <c r="AR43" t="str">
        <f t="shared" si="5"/>
        <v>Step 2</v>
      </c>
      <c r="AS43" t="str">
        <f t="shared" si="6"/>
        <v/>
      </c>
      <c r="AT43" t="str">
        <f t="shared" si="7"/>
        <v/>
      </c>
      <c r="AU43" t="str">
        <f t="shared" si="8"/>
        <v/>
      </c>
      <c r="AV43" t="str">
        <f t="shared" si="9"/>
        <v/>
      </c>
      <c r="AW43" t="str">
        <f t="shared" si="10"/>
        <v/>
      </c>
      <c r="AX43" t="str">
        <f t="shared" si="11"/>
        <v/>
      </c>
      <c r="AY43" t="str">
        <f t="shared" si="12"/>
        <v/>
      </c>
    </row>
    <row r="44" spans="1:51" x14ac:dyDescent="0.3">
      <c r="A44" s="16" t="s">
        <v>96</v>
      </c>
      <c r="B44" s="16" t="s">
        <v>221</v>
      </c>
      <c r="C44" s="16" t="s">
        <v>225</v>
      </c>
      <c r="D44" s="16" t="s">
        <v>229</v>
      </c>
      <c r="W44" t="str">
        <f t="shared" si="13"/>
        <v>Step 1</v>
      </c>
      <c r="X44" t="str">
        <f t="shared" si="14"/>
        <v/>
      </c>
      <c r="Y44" t="str">
        <f t="shared" si="15"/>
        <v/>
      </c>
      <c r="Z44" t="str">
        <f t="shared" si="16"/>
        <v/>
      </c>
      <c r="AA44" t="str">
        <f t="shared" si="17"/>
        <v/>
      </c>
      <c r="AB44" t="str">
        <f t="shared" si="18"/>
        <v/>
      </c>
      <c r="AC44" t="str">
        <f t="shared" si="19"/>
        <v/>
      </c>
      <c r="AD44" t="str">
        <f t="shared" si="20"/>
        <v/>
      </c>
      <c r="AE44" t="str">
        <f t="shared" si="1"/>
        <v/>
      </c>
      <c r="AG44" t="e">
        <f t="shared" si="21"/>
        <v>#N/A</v>
      </c>
      <c r="AH44" t="str">
        <f t="shared" si="22"/>
        <v/>
      </c>
      <c r="AI44" t="str">
        <f t="shared" si="23"/>
        <v/>
      </c>
      <c r="AJ44" t="str">
        <f t="shared" si="24"/>
        <v/>
      </c>
      <c r="AK44" t="str">
        <f t="shared" si="25"/>
        <v>Step 5</v>
      </c>
      <c r="AL44" t="str">
        <f t="shared" si="26"/>
        <v/>
      </c>
      <c r="AM44" t="str">
        <f t="shared" si="27"/>
        <v/>
      </c>
      <c r="AN44" t="str">
        <f t="shared" si="2"/>
        <v/>
      </c>
      <c r="AO44" t="str">
        <f t="shared" si="3"/>
        <v/>
      </c>
      <c r="AQ44" t="e">
        <f t="shared" si="4"/>
        <v>#N/A</v>
      </c>
      <c r="AR44" t="str">
        <f t="shared" si="5"/>
        <v/>
      </c>
      <c r="AS44" t="str">
        <f t="shared" si="6"/>
        <v/>
      </c>
      <c r="AT44" t="str">
        <f t="shared" si="7"/>
        <v/>
      </c>
      <c r="AU44" t="str">
        <f t="shared" si="8"/>
        <v/>
      </c>
      <c r="AV44" t="str">
        <f t="shared" si="9"/>
        <v/>
      </c>
      <c r="AW44" t="str">
        <f t="shared" si="10"/>
        <v/>
      </c>
      <c r="AX44" t="str">
        <f t="shared" si="11"/>
        <v/>
      </c>
      <c r="AY44" t="str">
        <f t="shared" si="12"/>
        <v>Step 9</v>
      </c>
    </row>
    <row r="45" spans="1:51" x14ac:dyDescent="0.3">
      <c r="A45" s="16" t="s">
        <v>97</v>
      </c>
      <c r="B45" s="16" t="s">
        <v>222</v>
      </c>
      <c r="C45" s="16" t="s">
        <v>222</v>
      </c>
      <c r="D45" s="16" t="s">
        <v>222</v>
      </c>
      <c r="W45" t="e">
        <f t="shared" si="13"/>
        <v>#N/A</v>
      </c>
      <c r="X45" t="str">
        <f t="shared" si="14"/>
        <v>Step 2</v>
      </c>
      <c r="Y45" t="str">
        <f t="shared" si="15"/>
        <v/>
      </c>
      <c r="Z45" t="str">
        <f t="shared" si="16"/>
        <v/>
      </c>
      <c r="AA45" t="str">
        <f t="shared" si="17"/>
        <v/>
      </c>
      <c r="AB45" t="str">
        <f t="shared" si="18"/>
        <v/>
      </c>
      <c r="AC45" t="str">
        <f t="shared" si="19"/>
        <v/>
      </c>
      <c r="AD45" t="str">
        <f t="shared" si="20"/>
        <v/>
      </c>
      <c r="AE45" t="str">
        <f t="shared" si="1"/>
        <v/>
      </c>
      <c r="AG45" t="e">
        <f t="shared" si="21"/>
        <v>#N/A</v>
      </c>
      <c r="AH45" t="str">
        <f t="shared" si="22"/>
        <v>Step 2</v>
      </c>
      <c r="AI45" t="str">
        <f t="shared" si="23"/>
        <v/>
      </c>
      <c r="AJ45" t="str">
        <f t="shared" si="24"/>
        <v/>
      </c>
      <c r="AK45" t="str">
        <f t="shared" si="25"/>
        <v/>
      </c>
      <c r="AL45" t="str">
        <f t="shared" si="26"/>
        <v/>
      </c>
      <c r="AM45" t="str">
        <f t="shared" si="27"/>
        <v/>
      </c>
      <c r="AN45" t="str">
        <f t="shared" si="2"/>
        <v/>
      </c>
      <c r="AO45" t="str">
        <f t="shared" si="3"/>
        <v/>
      </c>
      <c r="AQ45" t="e">
        <f t="shared" si="4"/>
        <v>#N/A</v>
      </c>
      <c r="AR45" t="str">
        <f t="shared" si="5"/>
        <v>Step 2</v>
      </c>
      <c r="AS45" t="str">
        <f t="shared" si="6"/>
        <v/>
      </c>
      <c r="AT45" t="str">
        <f t="shared" si="7"/>
        <v/>
      </c>
      <c r="AU45" t="str">
        <f t="shared" si="8"/>
        <v/>
      </c>
      <c r="AV45" t="str">
        <f t="shared" si="9"/>
        <v/>
      </c>
      <c r="AW45" t="str">
        <f t="shared" si="10"/>
        <v/>
      </c>
      <c r="AX45" t="str">
        <f t="shared" si="11"/>
        <v/>
      </c>
      <c r="AY45" t="str">
        <f t="shared" si="12"/>
        <v/>
      </c>
    </row>
    <row r="46" spans="1:51" x14ac:dyDescent="0.3">
      <c r="A46" s="16" t="s">
        <v>98</v>
      </c>
      <c r="B46" s="16" t="s">
        <v>221</v>
      </c>
      <c r="C46" s="16" t="s">
        <v>225</v>
      </c>
      <c r="D46" s="16" t="s">
        <v>229</v>
      </c>
      <c r="W46" t="str">
        <f t="shared" si="13"/>
        <v>Step 1</v>
      </c>
      <c r="X46" t="str">
        <f t="shared" si="14"/>
        <v/>
      </c>
      <c r="Y46" t="str">
        <f t="shared" si="15"/>
        <v/>
      </c>
      <c r="Z46" t="str">
        <f t="shared" si="16"/>
        <v/>
      </c>
      <c r="AA46" t="str">
        <f t="shared" si="17"/>
        <v/>
      </c>
      <c r="AB46" t="str">
        <f t="shared" si="18"/>
        <v/>
      </c>
      <c r="AC46" t="str">
        <f t="shared" si="19"/>
        <v/>
      </c>
      <c r="AD46" t="str">
        <f t="shared" si="20"/>
        <v/>
      </c>
      <c r="AE46" t="str">
        <f t="shared" si="1"/>
        <v/>
      </c>
      <c r="AG46" t="e">
        <f t="shared" si="21"/>
        <v>#N/A</v>
      </c>
      <c r="AH46" t="str">
        <f t="shared" si="22"/>
        <v/>
      </c>
      <c r="AI46" t="str">
        <f t="shared" si="23"/>
        <v/>
      </c>
      <c r="AJ46" t="str">
        <f t="shared" si="24"/>
        <v/>
      </c>
      <c r="AK46" t="str">
        <f t="shared" si="25"/>
        <v>Step 5</v>
      </c>
      <c r="AL46" t="str">
        <f t="shared" si="26"/>
        <v/>
      </c>
      <c r="AM46" t="str">
        <f t="shared" si="27"/>
        <v/>
      </c>
      <c r="AN46" t="str">
        <f t="shared" si="2"/>
        <v/>
      </c>
      <c r="AO46" t="str">
        <f t="shared" si="3"/>
        <v/>
      </c>
      <c r="AQ46" t="e">
        <f t="shared" si="4"/>
        <v>#N/A</v>
      </c>
      <c r="AR46" t="str">
        <f t="shared" si="5"/>
        <v/>
      </c>
      <c r="AS46" t="str">
        <f t="shared" si="6"/>
        <v/>
      </c>
      <c r="AT46" t="str">
        <f t="shared" si="7"/>
        <v/>
      </c>
      <c r="AU46" t="str">
        <f t="shared" si="8"/>
        <v/>
      </c>
      <c r="AV46" t="str">
        <f t="shared" si="9"/>
        <v/>
      </c>
      <c r="AW46" t="str">
        <f t="shared" si="10"/>
        <v/>
      </c>
      <c r="AX46" t="str">
        <f t="shared" si="11"/>
        <v/>
      </c>
      <c r="AY46" t="str">
        <f t="shared" si="12"/>
        <v>Step 9</v>
      </c>
    </row>
    <row r="47" spans="1:51" x14ac:dyDescent="0.3">
      <c r="A47" s="16" t="s">
        <v>99</v>
      </c>
      <c r="B47" s="16" t="s">
        <v>229</v>
      </c>
      <c r="C47" s="16" t="s">
        <v>221</v>
      </c>
      <c r="D47" s="16" t="s">
        <v>223</v>
      </c>
      <c r="W47" t="e">
        <f t="shared" si="13"/>
        <v>#N/A</v>
      </c>
      <c r="X47" t="str">
        <f t="shared" si="14"/>
        <v/>
      </c>
      <c r="Y47" t="str">
        <f t="shared" si="15"/>
        <v/>
      </c>
      <c r="Z47" t="str">
        <f t="shared" si="16"/>
        <v/>
      </c>
      <c r="AA47" t="str">
        <f t="shared" si="17"/>
        <v/>
      </c>
      <c r="AB47" t="str">
        <f t="shared" si="18"/>
        <v/>
      </c>
      <c r="AC47" t="str">
        <f t="shared" si="19"/>
        <v/>
      </c>
      <c r="AD47" t="str">
        <f t="shared" si="20"/>
        <v/>
      </c>
      <c r="AE47" t="str">
        <f t="shared" si="1"/>
        <v>Step 9</v>
      </c>
      <c r="AG47" t="str">
        <f t="shared" si="21"/>
        <v>Step 1</v>
      </c>
      <c r="AH47" t="str">
        <f t="shared" si="22"/>
        <v/>
      </c>
      <c r="AI47" t="str">
        <f t="shared" si="23"/>
        <v/>
      </c>
      <c r="AJ47" t="str">
        <f t="shared" si="24"/>
        <v/>
      </c>
      <c r="AK47" t="str">
        <f t="shared" si="25"/>
        <v/>
      </c>
      <c r="AL47" t="str">
        <f t="shared" si="26"/>
        <v/>
      </c>
      <c r="AM47" t="str">
        <f t="shared" si="27"/>
        <v/>
      </c>
      <c r="AN47" t="str">
        <f t="shared" si="2"/>
        <v/>
      </c>
      <c r="AO47" t="str">
        <f t="shared" si="3"/>
        <v/>
      </c>
      <c r="AQ47" t="e">
        <f t="shared" si="4"/>
        <v>#N/A</v>
      </c>
      <c r="AR47" t="str">
        <f t="shared" si="5"/>
        <v/>
      </c>
      <c r="AS47" t="str">
        <f t="shared" si="6"/>
        <v>Step 3</v>
      </c>
      <c r="AT47" t="str">
        <f t="shared" si="7"/>
        <v/>
      </c>
      <c r="AU47" t="str">
        <f t="shared" si="8"/>
        <v/>
      </c>
      <c r="AV47" t="str">
        <f t="shared" si="9"/>
        <v/>
      </c>
      <c r="AW47" t="str">
        <f t="shared" si="10"/>
        <v/>
      </c>
      <c r="AX47" t="str">
        <f t="shared" si="11"/>
        <v/>
      </c>
      <c r="AY47" t="str">
        <f t="shared" si="12"/>
        <v/>
      </c>
    </row>
    <row r="48" spans="1:51" x14ac:dyDescent="0.3">
      <c r="A48" s="16" t="s">
        <v>100</v>
      </c>
      <c r="B48" s="16" t="s">
        <v>221</v>
      </c>
      <c r="C48" s="16" t="s">
        <v>224</v>
      </c>
      <c r="D48" s="16" t="s">
        <v>221</v>
      </c>
      <c r="W48" t="str">
        <f t="shared" si="13"/>
        <v>Step 1</v>
      </c>
      <c r="X48" t="str">
        <f t="shared" si="14"/>
        <v/>
      </c>
      <c r="Y48" t="str">
        <f t="shared" si="15"/>
        <v/>
      </c>
      <c r="Z48" t="str">
        <f t="shared" si="16"/>
        <v/>
      </c>
      <c r="AA48" t="str">
        <f t="shared" si="17"/>
        <v/>
      </c>
      <c r="AB48" t="str">
        <f t="shared" si="18"/>
        <v/>
      </c>
      <c r="AC48" t="str">
        <f t="shared" si="19"/>
        <v/>
      </c>
      <c r="AD48" t="str">
        <f t="shared" si="20"/>
        <v/>
      </c>
      <c r="AE48" t="str">
        <f t="shared" si="1"/>
        <v/>
      </c>
      <c r="AG48" t="e">
        <f t="shared" si="21"/>
        <v>#N/A</v>
      </c>
      <c r="AH48" t="str">
        <f t="shared" si="22"/>
        <v/>
      </c>
      <c r="AI48" t="str">
        <f t="shared" si="23"/>
        <v/>
      </c>
      <c r="AJ48" t="str">
        <f t="shared" si="24"/>
        <v>Step 4</v>
      </c>
      <c r="AK48" t="str">
        <f t="shared" si="25"/>
        <v/>
      </c>
      <c r="AL48" t="str">
        <f t="shared" si="26"/>
        <v/>
      </c>
      <c r="AM48" t="str">
        <f t="shared" si="27"/>
        <v/>
      </c>
      <c r="AN48" t="str">
        <f t="shared" si="2"/>
        <v/>
      </c>
      <c r="AO48" t="str">
        <f t="shared" si="3"/>
        <v/>
      </c>
      <c r="AQ48" t="str">
        <f t="shared" si="4"/>
        <v>Step 1</v>
      </c>
      <c r="AR48" t="str">
        <f t="shared" si="5"/>
        <v/>
      </c>
      <c r="AS48" t="str">
        <f t="shared" si="6"/>
        <v/>
      </c>
      <c r="AT48" t="str">
        <f t="shared" si="7"/>
        <v/>
      </c>
      <c r="AU48" t="str">
        <f t="shared" si="8"/>
        <v/>
      </c>
      <c r="AV48" t="str">
        <f t="shared" si="9"/>
        <v/>
      </c>
      <c r="AW48" t="str">
        <f t="shared" si="10"/>
        <v/>
      </c>
      <c r="AX48" t="str">
        <f t="shared" si="11"/>
        <v/>
      </c>
      <c r="AY48" t="str">
        <f t="shared" si="12"/>
        <v/>
      </c>
    </row>
    <row r="49" spans="1:51" x14ac:dyDescent="0.3">
      <c r="A49" s="16" t="s">
        <v>101</v>
      </c>
      <c r="B49" s="16" t="s">
        <v>229</v>
      </c>
      <c r="C49" s="16" t="s">
        <v>224</v>
      </c>
      <c r="D49" s="16" t="s">
        <v>229</v>
      </c>
      <c r="W49" t="e">
        <f t="shared" si="13"/>
        <v>#N/A</v>
      </c>
      <c r="X49" t="str">
        <f t="shared" si="14"/>
        <v/>
      </c>
      <c r="Y49" t="str">
        <f t="shared" si="15"/>
        <v/>
      </c>
      <c r="Z49" t="str">
        <f t="shared" si="16"/>
        <v/>
      </c>
      <c r="AA49" t="str">
        <f t="shared" si="17"/>
        <v/>
      </c>
      <c r="AB49" t="str">
        <f t="shared" si="18"/>
        <v/>
      </c>
      <c r="AC49" t="str">
        <f t="shared" si="19"/>
        <v/>
      </c>
      <c r="AD49" t="str">
        <f t="shared" si="20"/>
        <v/>
      </c>
      <c r="AE49" t="str">
        <f t="shared" si="1"/>
        <v>Step 9</v>
      </c>
      <c r="AG49" t="e">
        <f t="shared" si="21"/>
        <v>#N/A</v>
      </c>
      <c r="AH49" t="str">
        <f t="shared" si="22"/>
        <v/>
      </c>
      <c r="AI49" t="str">
        <f t="shared" si="23"/>
        <v/>
      </c>
      <c r="AJ49" t="str">
        <f t="shared" si="24"/>
        <v>Step 4</v>
      </c>
      <c r="AK49" t="str">
        <f t="shared" si="25"/>
        <v/>
      </c>
      <c r="AL49" t="str">
        <f t="shared" si="26"/>
        <v/>
      </c>
      <c r="AM49" t="str">
        <f t="shared" si="27"/>
        <v/>
      </c>
      <c r="AN49" t="str">
        <f t="shared" si="2"/>
        <v/>
      </c>
      <c r="AO49" t="str">
        <f t="shared" si="3"/>
        <v/>
      </c>
      <c r="AQ49" t="e">
        <f t="shared" si="4"/>
        <v>#N/A</v>
      </c>
      <c r="AR49" t="str">
        <f t="shared" si="5"/>
        <v/>
      </c>
      <c r="AS49" t="str">
        <f t="shared" si="6"/>
        <v/>
      </c>
      <c r="AT49" t="str">
        <f t="shared" si="7"/>
        <v/>
      </c>
      <c r="AU49" t="str">
        <f t="shared" si="8"/>
        <v/>
      </c>
      <c r="AV49" t="str">
        <f t="shared" si="9"/>
        <v/>
      </c>
      <c r="AW49" t="str">
        <f t="shared" si="10"/>
        <v/>
      </c>
      <c r="AX49" t="str">
        <f t="shared" si="11"/>
        <v/>
      </c>
      <c r="AY49" t="str">
        <f t="shared" si="12"/>
        <v>Step 9</v>
      </c>
    </row>
    <row r="50" spans="1:51" x14ac:dyDescent="0.3">
      <c r="A50" s="16" t="s">
        <v>102</v>
      </c>
      <c r="B50" s="16" t="s">
        <v>221</v>
      </c>
      <c r="C50" s="16" t="s">
        <v>221</v>
      </c>
      <c r="D50" s="16" t="s">
        <v>222</v>
      </c>
      <c r="W50" t="str">
        <f t="shared" si="13"/>
        <v>Step 1</v>
      </c>
      <c r="X50" t="str">
        <f t="shared" si="14"/>
        <v/>
      </c>
      <c r="Y50" t="str">
        <f t="shared" si="15"/>
        <v/>
      </c>
      <c r="Z50" t="str">
        <f t="shared" si="16"/>
        <v/>
      </c>
      <c r="AA50" t="str">
        <f t="shared" si="17"/>
        <v/>
      </c>
      <c r="AB50" t="str">
        <f t="shared" si="18"/>
        <v/>
      </c>
      <c r="AC50" t="str">
        <f t="shared" si="19"/>
        <v/>
      </c>
      <c r="AD50" t="str">
        <f t="shared" si="20"/>
        <v/>
      </c>
      <c r="AE50" t="str">
        <f t="shared" si="1"/>
        <v/>
      </c>
      <c r="AG50" t="str">
        <f t="shared" si="21"/>
        <v>Step 1</v>
      </c>
      <c r="AH50" t="str">
        <f t="shared" si="22"/>
        <v/>
      </c>
      <c r="AI50" t="str">
        <f t="shared" si="23"/>
        <v/>
      </c>
      <c r="AJ50" t="str">
        <f t="shared" si="24"/>
        <v/>
      </c>
      <c r="AK50" t="str">
        <f t="shared" si="25"/>
        <v/>
      </c>
      <c r="AL50" t="str">
        <f t="shared" si="26"/>
        <v/>
      </c>
      <c r="AM50" t="str">
        <f t="shared" si="27"/>
        <v/>
      </c>
      <c r="AN50" t="str">
        <f t="shared" si="2"/>
        <v/>
      </c>
      <c r="AO50" t="str">
        <f t="shared" si="3"/>
        <v/>
      </c>
      <c r="AQ50" t="e">
        <f t="shared" si="4"/>
        <v>#N/A</v>
      </c>
      <c r="AR50" t="str">
        <f t="shared" si="5"/>
        <v>Step 2</v>
      </c>
      <c r="AS50" t="str">
        <f t="shared" si="6"/>
        <v/>
      </c>
      <c r="AT50" t="str">
        <f t="shared" si="7"/>
        <v/>
      </c>
      <c r="AU50" t="str">
        <f t="shared" si="8"/>
        <v/>
      </c>
      <c r="AV50" t="str">
        <f t="shared" si="9"/>
        <v/>
      </c>
      <c r="AW50" t="str">
        <f t="shared" si="10"/>
        <v/>
      </c>
      <c r="AX50" t="str">
        <f t="shared" si="11"/>
        <v/>
      </c>
      <c r="AY50" t="str">
        <f t="shared" si="12"/>
        <v/>
      </c>
    </row>
    <row r="51" spans="1:51" x14ac:dyDescent="0.3">
      <c r="A51" s="16" t="s">
        <v>103</v>
      </c>
      <c r="B51" s="16" t="s">
        <v>222</v>
      </c>
      <c r="C51" s="16" t="s">
        <v>229</v>
      </c>
      <c r="D51" s="16" t="s">
        <v>227</v>
      </c>
      <c r="W51" t="e">
        <f t="shared" si="13"/>
        <v>#N/A</v>
      </c>
      <c r="X51" t="str">
        <f t="shared" si="14"/>
        <v>Step 2</v>
      </c>
      <c r="Y51" t="str">
        <f t="shared" si="15"/>
        <v/>
      </c>
      <c r="Z51" t="str">
        <f t="shared" si="16"/>
        <v/>
      </c>
      <c r="AA51" t="str">
        <f t="shared" si="17"/>
        <v/>
      </c>
      <c r="AB51" t="str">
        <f t="shared" si="18"/>
        <v/>
      </c>
      <c r="AC51" t="str">
        <f t="shared" si="19"/>
        <v/>
      </c>
      <c r="AD51" t="str">
        <f t="shared" si="20"/>
        <v/>
      </c>
      <c r="AE51" t="str">
        <f t="shared" si="1"/>
        <v/>
      </c>
      <c r="AG51" t="e">
        <f t="shared" si="21"/>
        <v>#N/A</v>
      </c>
      <c r="AH51" t="str">
        <f t="shared" si="22"/>
        <v/>
      </c>
      <c r="AI51" t="str">
        <f t="shared" si="23"/>
        <v/>
      </c>
      <c r="AJ51" t="str">
        <f t="shared" si="24"/>
        <v/>
      </c>
      <c r="AK51" t="str">
        <f t="shared" si="25"/>
        <v/>
      </c>
      <c r="AL51" t="str">
        <f t="shared" si="26"/>
        <v/>
      </c>
      <c r="AM51" t="str">
        <f t="shared" si="27"/>
        <v/>
      </c>
      <c r="AN51" t="str">
        <f t="shared" si="2"/>
        <v/>
      </c>
      <c r="AO51" t="str">
        <f t="shared" si="3"/>
        <v>Step 9</v>
      </c>
      <c r="AQ51" t="e">
        <f t="shared" si="4"/>
        <v>#N/A</v>
      </c>
      <c r="AR51" t="str">
        <f t="shared" si="5"/>
        <v/>
      </c>
      <c r="AS51" t="str">
        <f t="shared" si="6"/>
        <v/>
      </c>
      <c r="AT51" t="str">
        <f t="shared" si="7"/>
        <v/>
      </c>
      <c r="AU51" t="str">
        <f t="shared" si="8"/>
        <v/>
      </c>
      <c r="AV51" t="str">
        <f t="shared" si="9"/>
        <v/>
      </c>
      <c r="AW51" t="str">
        <f t="shared" si="10"/>
        <v>Step 7</v>
      </c>
      <c r="AX51" t="str">
        <f t="shared" si="11"/>
        <v/>
      </c>
      <c r="AY51" t="str">
        <f t="shared" si="12"/>
        <v/>
      </c>
    </row>
    <row r="52" spans="1:51" x14ac:dyDescent="0.3">
      <c r="A52" s="16" t="s">
        <v>104</v>
      </c>
      <c r="B52" s="16" t="s">
        <v>229</v>
      </c>
      <c r="C52" s="16" t="s">
        <v>226</v>
      </c>
      <c r="D52" s="16" t="s">
        <v>223</v>
      </c>
      <c r="W52" t="e">
        <f t="shared" si="13"/>
        <v>#N/A</v>
      </c>
      <c r="X52" t="str">
        <f t="shared" si="14"/>
        <v/>
      </c>
      <c r="Y52" t="str">
        <f t="shared" si="15"/>
        <v/>
      </c>
      <c r="Z52" t="str">
        <f t="shared" si="16"/>
        <v/>
      </c>
      <c r="AA52" t="str">
        <f t="shared" si="17"/>
        <v/>
      </c>
      <c r="AB52" t="str">
        <f t="shared" si="18"/>
        <v/>
      </c>
      <c r="AC52" t="str">
        <f t="shared" si="19"/>
        <v/>
      </c>
      <c r="AD52" t="str">
        <f t="shared" si="20"/>
        <v/>
      </c>
      <c r="AE52" t="str">
        <f t="shared" si="1"/>
        <v>Step 9</v>
      </c>
      <c r="AG52" t="e">
        <f t="shared" si="21"/>
        <v>#N/A</v>
      </c>
      <c r="AH52" t="str">
        <f t="shared" si="22"/>
        <v/>
      </c>
      <c r="AI52" t="str">
        <f t="shared" si="23"/>
        <v/>
      </c>
      <c r="AJ52" t="str">
        <f t="shared" si="24"/>
        <v/>
      </c>
      <c r="AK52" t="str">
        <f t="shared" si="25"/>
        <v/>
      </c>
      <c r="AL52" t="str">
        <f t="shared" si="26"/>
        <v>Step 6</v>
      </c>
      <c r="AM52" t="str">
        <f t="shared" si="27"/>
        <v/>
      </c>
      <c r="AN52" t="str">
        <f t="shared" si="2"/>
        <v/>
      </c>
      <c r="AO52" t="str">
        <f t="shared" si="3"/>
        <v/>
      </c>
      <c r="AQ52" t="e">
        <f t="shared" si="4"/>
        <v>#N/A</v>
      </c>
      <c r="AR52" t="str">
        <f t="shared" si="5"/>
        <v/>
      </c>
      <c r="AS52" t="str">
        <f t="shared" si="6"/>
        <v>Step 3</v>
      </c>
      <c r="AT52" t="str">
        <f t="shared" si="7"/>
        <v/>
      </c>
      <c r="AU52" t="str">
        <f t="shared" si="8"/>
        <v/>
      </c>
      <c r="AV52" t="str">
        <f t="shared" si="9"/>
        <v/>
      </c>
      <c r="AW52" t="str">
        <f t="shared" si="10"/>
        <v/>
      </c>
      <c r="AX52" t="str">
        <f t="shared" si="11"/>
        <v/>
      </c>
      <c r="AY52" t="str">
        <f t="shared" si="12"/>
        <v/>
      </c>
    </row>
    <row r="53" spans="1:51" x14ac:dyDescent="0.3">
      <c r="A53" s="16" t="s">
        <v>105</v>
      </c>
      <c r="B53" s="16" t="s">
        <v>227</v>
      </c>
      <c r="C53" s="16" t="s">
        <v>222</v>
      </c>
      <c r="D53" s="16" t="s">
        <v>222</v>
      </c>
      <c r="W53" t="e">
        <f t="shared" si="13"/>
        <v>#N/A</v>
      </c>
      <c r="X53" t="str">
        <f t="shared" si="14"/>
        <v/>
      </c>
      <c r="Y53" t="str">
        <f t="shared" si="15"/>
        <v/>
      </c>
      <c r="Z53" t="str">
        <f t="shared" si="16"/>
        <v/>
      </c>
      <c r="AA53" t="str">
        <f t="shared" si="17"/>
        <v/>
      </c>
      <c r="AB53" t="str">
        <f t="shared" si="18"/>
        <v/>
      </c>
      <c r="AC53" t="str">
        <f t="shared" si="19"/>
        <v>Step 7</v>
      </c>
      <c r="AD53" t="str">
        <f t="shared" si="20"/>
        <v/>
      </c>
      <c r="AE53" t="str">
        <f t="shared" si="1"/>
        <v/>
      </c>
      <c r="AG53" t="e">
        <f t="shared" si="21"/>
        <v>#N/A</v>
      </c>
      <c r="AH53" t="str">
        <f t="shared" si="22"/>
        <v>Step 2</v>
      </c>
      <c r="AI53" t="str">
        <f t="shared" si="23"/>
        <v/>
      </c>
      <c r="AJ53" t="str">
        <f t="shared" si="24"/>
        <v/>
      </c>
      <c r="AK53" t="str">
        <f t="shared" si="25"/>
        <v/>
      </c>
      <c r="AL53" t="str">
        <f t="shared" si="26"/>
        <v/>
      </c>
      <c r="AM53" t="str">
        <f t="shared" si="27"/>
        <v/>
      </c>
      <c r="AN53" t="str">
        <f t="shared" si="2"/>
        <v/>
      </c>
      <c r="AO53" t="str">
        <f t="shared" si="3"/>
        <v/>
      </c>
      <c r="AQ53" t="e">
        <f t="shared" si="4"/>
        <v>#N/A</v>
      </c>
      <c r="AR53" t="str">
        <f t="shared" si="5"/>
        <v>Step 2</v>
      </c>
      <c r="AS53" t="str">
        <f t="shared" si="6"/>
        <v/>
      </c>
      <c r="AT53" t="str">
        <f t="shared" si="7"/>
        <v/>
      </c>
      <c r="AU53" t="str">
        <f t="shared" si="8"/>
        <v/>
      </c>
      <c r="AV53" t="str">
        <f t="shared" si="9"/>
        <v/>
      </c>
      <c r="AW53" t="str">
        <f t="shared" si="10"/>
        <v/>
      </c>
      <c r="AX53" t="str">
        <f t="shared" si="11"/>
        <v/>
      </c>
      <c r="AY53" t="str">
        <f t="shared" si="12"/>
        <v/>
      </c>
    </row>
    <row r="54" spans="1:51" x14ac:dyDescent="0.3">
      <c r="A54" s="16" t="s">
        <v>106</v>
      </c>
      <c r="B54" s="16" t="s">
        <v>226</v>
      </c>
      <c r="C54" s="16" t="s">
        <v>221</v>
      </c>
      <c r="D54" s="16" t="s">
        <v>222</v>
      </c>
      <c r="W54" t="e">
        <f t="shared" si="13"/>
        <v>#N/A</v>
      </c>
      <c r="X54" t="str">
        <f t="shared" si="14"/>
        <v/>
      </c>
      <c r="Y54" t="str">
        <f t="shared" si="15"/>
        <v/>
      </c>
      <c r="Z54" t="str">
        <f t="shared" si="16"/>
        <v/>
      </c>
      <c r="AA54" t="str">
        <f t="shared" si="17"/>
        <v/>
      </c>
      <c r="AB54" t="str">
        <f t="shared" si="18"/>
        <v>Step 6</v>
      </c>
      <c r="AC54" t="str">
        <f t="shared" si="19"/>
        <v/>
      </c>
      <c r="AD54" t="str">
        <f t="shared" si="20"/>
        <v/>
      </c>
      <c r="AE54" t="str">
        <f t="shared" si="1"/>
        <v/>
      </c>
      <c r="AG54" t="str">
        <f t="shared" si="21"/>
        <v>Step 1</v>
      </c>
      <c r="AH54" t="str">
        <f t="shared" si="22"/>
        <v/>
      </c>
      <c r="AI54" t="str">
        <f t="shared" si="23"/>
        <v/>
      </c>
      <c r="AJ54" t="str">
        <f t="shared" si="24"/>
        <v/>
      </c>
      <c r="AK54" t="str">
        <f t="shared" si="25"/>
        <v/>
      </c>
      <c r="AL54" t="str">
        <f t="shared" si="26"/>
        <v/>
      </c>
      <c r="AM54" t="str">
        <f t="shared" si="27"/>
        <v/>
      </c>
      <c r="AN54" t="str">
        <f t="shared" si="2"/>
        <v/>
      </c>
      <c r="AO54" t="str">
        <f t="shared" si="3"/>
        <v/>
      </c>
      <c r="AQ54" t="e">
        <f t="shared" si="4"/>
        <v>#N/A</v>
      </c>
      <c r="AR54" t="str">
        <f t="shared" si="5"/>
        <v>Step 2</v>
      </c>
      <c r="AS54" t="str">
        <f t="shared" si="6"/>
        <v/>
      </c>
      <c r="AT54" t="str">
        <f t="shared" si="7"/>
        <v/>
      </c>
      <c r="AU54" t="str">
        <f t="shared" si="8"/>
        <v/>
      </c>
      <c r="AV54" t="str">
        <f t="shared" si="9"/>
        <v/>
      </c>
      <c r="AW54" t="str">
        <f t="shared" si="10"/>
        <v/>
      </c>
      <c r="AX54" t="str">
        <f t="shared" si="11"/>
        <v/>
      </c>
      <c r="AY54" t="str">
        <f t="shared" si="12"/>
        <v/>
      </c>
    </row>
    <row r="55" spans="1:51" x14ac:dyDescent="0.3">
      <c r="A55" s="16" t="s">
        <v>107</v>
      </c>
      <c r="B55" s="16" t="s">
        <v>229</v>
      </c>
      <c r="C55" s="16" t="s">
        <v>226</v>
      </c>
      <c r="D55" s="16" t="s">
        <v>225</v>
      </c>
      <c r="W55" t="e">
        <f t="shared" si="13"/>
        <v>#N/A</v>
      </c>
      <c r="X55" t="str">
        <f t="shared" si="14"/>
        <v/>
      </c>
      <c r="Y55" t="str">
        <f t="shared" si="15"/>
        <v/>
      </c>
      <c r="Z55" t="str">
        <f t="shared" si="16"/>
        <v/>
      </c>
      <c r="AA55" t="str">
        <f t="shared" si="17"/>
        <v/>
      </c>
      <c r="AB55" t="str">
        <f t="shared" si="18"/>
        <v/>
      </c>
      <c r="AC55" t="str">
        <f t="shared" si="19"/>
        <v/>
      </c>
      <c r="AD55" t="str">
        <f t="shared" si="20"/>
        <v/>
      </c>
      <c r="AE55" t="str">
        <f t="shared" si="1"/>
        <v>Step 9</v>
      </c>
      <c r="AG55" t="e">
        <f t="shared" si="21"/>
        <v>#N/A</v>
      </c>
      <c r="AH55" t="str">
        <f t="shared" si="22"/>
        <v/>
      </c>
      <c r="AI55" t="str">
        <f t="shared" si="23"/>
        <v/>
      </c>
      <c r="AJ55" t="str">
        <f t="shared" si="24"/>
        <v/>
      </c>
      <c r="AK55" t="str">
        <f t="shared" si="25"/>
        <v/>
      </c>
      <c r="AL55" t="str">
        <f t="shared" si="26"/>
        <v>Step 6</v>
      </c>
      <c r="AM55" t="str">
        <f t="shared" si="27"/>
        <v/>
      </c>
      <c r="AN55" t="str">
        <f t="shared" si="2"/>
        <v/>
      </c>
      <c r="AO55" t="str">
        <f t="shared" si="3"/>
        <v/>
      </c>
      <c r="AQ55" t="e">
        <f t="shared" si="4"/>
        <v>#N/A</v>
      </c>
      <c r="AR55" t="str">
        <f t="shared" si="5"/>
        <v/>
      </c>
      <c r="AS55" t="str">
        <f t="shared" si="6"/>
        <v/>
      </c>
      <c r="AT55" t="str">
        <f t="shared" si="7"/>
        <v/>
      </c>
      <c r="AU55" t="str">
        <f t="shared" si="8"/>
        <v>Step 5</v>
      </c>
      <c r="AV55" t="str">
        <f t="shared" si="9"/>
        <v/>
      </c>
      <c r="AW55" t="str">
        <f t="shared" si="10"/>
        <v/>
      </c>
      <c r="AX55" t="str">
        <f t="shared" si="11"/>
        <v/>
      </c>
      <c r="AY55" t="str">
        <f t="shared" si="12"/>
        <v/>
      </c>
    </row>
    <row r="56" spans="1:51" x14ac:dyDescent="0.3">
      <c r="A56" s="16" t="s">
        <v>108</v>
      </c>
      <c r="B56" s="16" t="s">
        <v>227</v>
      </c>
      <c r="C56" s="16" t="s">
        <v>225</v>
      </c>
      <c r="D56" s="16" t="s">
        <v>227</v>
      </c>
      <c r="W56" t="e">
        <f t="shared" si="13"/>
        <v>#N/A</v>
      </c>
      <c r="X56" t="str">
        <f t="shared" si="14"/>
        <v/>
      </c>
      <c r="Y56" t="str">
        <f t="shared" si="15"/>
        <v/>
      </c>
      <c r="Z56" t="str">
        <f t="shared" si="16"/>
        <v/>
      </c>
      <c r="AA56" t="str">
        <f t="shared" si="17"/>
        <v/>
      </c>
      <c r="AB56" t="str">
        <f t="shared" si="18"/>
        <v/>
      </c>
      <c r="AC56" t="str">
        <f t="shared" si="19"/>
        <v>Step 7</v>
      </c>
      <c r="AD56" t="str">
        <f t="shared" si="20"/>
        <v/>
      </c>
      <c r="AE56" t="str">
        <f t="shared" si="1"/>
        <v/>
      </c>
      <c r="AG56" t="e">
        <f t="shared" si="21"/>
        <v>#N/A</v>
      </c>
      <c r="AH56" t="str">
        <f t="shared" si="22"/>
        <v/>
      </c>
      <c r="AI56" t="str">
        <f t="shared" si="23"/>
        <v/>
      </c>
      <c r="AJ56" t="str">
        <f t="shared" si="24"/>
        <v/>
      </c>
      <c r="AK56" t="str">
        <f t="shared" si="25"/>
        <v>Step 5</v>
      </c>
      <c r="AL56" t="str">
        <f t="shared" si="26"/>
        <v/>
      </c>
      <c r="AM56" t="str">
        <f t="shared" si="27"/>
        <v/>
      </c>
      <c r="AN56" t="str">
        <f t="shared" si="2"/>
        <v/>
      </c>
      <c r="AO56" t="str">
        <f t="shared" si="3"/>
        <v/>
      </c>
      <c r="AQ56" t="e">
        <f t="shared" si="4"/>
        <v>#N/A</v>
      </c>
      <c r="AR56" t="str">
        <f t="shared" si="5"/>
        <v/>
      </c>
      <c r="AS56" t="str">
        <f t="shared" si="6"/>
        <v/>
      </c>
      <c r="AT56" t="str">
        <f t="shared" si="7"/>
        <v/>
      </c>
      <c r="AU56" t="str">
        <f t="shared" si="8"/>
        <v/>
      </c>
      <c r="AV56" t="str">
        <f t="shared" si="9"/>
        <v/>
      </c>
      <c r="AW56" t="str">
        <f t="shared" si="10"/>
        <v>Step 7</v>
      </c>
      <c r="AX56" t="str">
        <f t="shared" si="11"/>
        <v/>
      </c>
      <c r="AY56" t="str">
        <f t="shared" si="12"/>
        <v/>
      </c>
    </row>
    <row r="57" spans="1:51" x14ac:dyDescent="0.3">
      <c r="A57" s="16" t="s">
        <v>109</v>
      </c>
      <c r="B57" s="16" t="s">
        <v>229</v>
      </c>
      <c r="C57" s="16" t="s">
        <v>225</v>
      </c>
      <c r="D57" s="16" t="s">
        <v>223</v>
      </c>
      <c r="W57" t="e">
        <f t="shared" si="13"/>
        <v>#N/A</v>
      </c>
      <c r="X57" t="str">
        <f t="shared" si="14"/>
        <v/>
      </c>
      <c r="Y57" t="str">
        <f t="shared" si="15"/>
        <v/>
      </c>
      <c r="Z57" t="str">
        <f t="shared" si="16"/>
        <v/>
      </c>
      <c r="AA57" t="str">
        <f t="shared" si="17"/>
        <v/>
      </c>
      <c r="AB57" t="str">
        <f t="shared" si="18"/>
        <v/>
      </c>
      <c r="AC57" t="str">
        <f t="shared" si="19"/>
        <v/>
      </c>
      <c r="AD57" t="str">
        <f t="shared" si="20"/>
        <v/>
      </c>
      <c r="AE57" t="str">
        <f t="shared" si="1"/>
        <v>Step 9</v>
      </c>
      <c r="AG57" t="e">
        <f t="shared" si="21"/>
        <v>#N/A</v>
      </c>
      <c r="AH57" t="str">
        <f t="shared" si="22"/>
        <v/>
      </c>
      <c r="AI57" t="str">
        <f t="shared" si="23"/>
        <v/>
      </c>
      <c r="AJ57" t="str">
        <f t="shared" si="24"/>
        <v/>
      </c>
      <c r="AK57" t="str">
        <f t="shared" si="25"/>
        <v>Step 5</v>
      </c>
      <c r="AL57" t="str">
        <f t="shared" si="26"/>
        <v/>
      </c>
      <c r="AM57" t="str">
        <f t="shared" si="27"/>
        <v/>
      </c>
      <c r="AN57" t="str">
        <f t="shared" si="2"/>
        <v/>
      </c>
      <c r="AO57" t="str">
        <f t="shared" si="3"/>
        <v/>
      </c>
      <c r="AQ57" t="e">
        <f t="shared" si="4"/>
        <v>#N/A</v>
      </c>
      <c r="AR57" t="str">
        <f t="shared" si="5"/>
        <v/>
      </c>
      <c r="AS57" t="str">
        <f t="shared" si="6"/>
        <v>Step 3</v>
      </c>
      <c r="AT57" t="str">
        <f t="shared" si="7"/>
        <v/>
      </c>
      <c r="AU57" t="str">
        <f t="shared" si="8"/>
        <v/>
      </c>
      <c r="AV57" t="str">
        <f t="shared" si="9"/>
        <v/>
      </c>
      <c r="AW57" t="str">
        <f t="shared" si="10"/>
        <v/>
      </c>
      <c r="AX57" t="str">
        <f t="shared" si="11"/>
        <v/>
      </c>
      <c r="AY57" t="str">
        <f t="shared" si="12"/>
        <v/>
      </c>
    </row>
    <row r="58" spans="1:51" x14ac:dyDescent="0.3">
      <c r="A58" s="16" t="s">
        <v>110</v>
      </c>
      <c r="B58" s="16" t="s">
        <v>223</v>
      </c>
      <c r="C58" s="16" t="s">
        <v>227</v>
      </c>
      <c r="D58" s="16" t="s">
        <v>225</v>
      </c>
      <c r="W58" t="e">
        <f t="shared" si="13"/>
        <v>#N/A</v>
      </c>
      <c r="X58" t="str">
        <f t="shared" si="14"/>
        <v/>
      </c>
      <c r="Y58" t="str">
        <f t="shared" si="15"/>
        <v>Step 3</v>
      </c>
      <c r="Z58" t="str">
        <f t="shared" si="16"/>
        <v/>
      </c>
      <c r="AA58" t="str">
        <f t="shared" si="17"/>
        <v/>
      </c>
      <c r="AB58" t="str">
        <f t="shared" si="18"/>
        <v/>
      </c>
      <c r="AC58" t="str">
        <f t="shared" si="19"/>
        <v/>
      </c>
      <c r="AD58" t="str">
        <f t="shared" si="20"/>
        <v/>
      </c>
      <c r="AE58" t="str">
        <f t="shared" si="1"/>
        <v/>
      </c>
      <c r="AG58" t="e">
        <f t="shared" si="21"/>
        <v>#N/A</v>
      </c>
      <c r="AH58" t="str">
        <f t="shared" si="22"/>
        <v/>
      </c>
      <c r="AI58" t="str">
        <f t="shared" si="23"/>
        <v/>
      </c>
      <c r="AJ58" t="str">
        <f t="shared" si="24"/>
        <v/>
      </c>
      <c r="AK58" t="str">
        <f t="shared" si="25"/>
        <v/>
      </c>
      <c r="AL58" t="str">
        <f t="shared" si="26"/>
        <v/>
      </c>
      <c r="AM58" t="str">
        <f t="shared" si="27"/>
        <v>Step 7</v>
      </c>
      <c r="AN58" t="str">
        <f t="shared" si="2"/>
        <v/>
      </c>
      <c r="AO58" t="str">
        <f t="shared" si="3"/>
        <v/>
      </c>
      <c r="AQ58" t="e">
        <f t="shared" si="4"/>
        <v>#N/A</v>
      </c>
      <c r="AR58" t="str">
        <f t="shared" si="5"/>
        <v/>
      </c>
      <c r="AS58" t="str">
        <f t="shared" si="6"/>
        <v/>
      </c>
      <c r="AT58" t="str">
        <f t="shared" si="7"/>
        <v/>
      </c>
      <c r="AU58" t="str">
        <f t="shared" si="8"/>
        <v>Step 5</v>
      </c>
      <c r="AV58" t="str">
        <f t="shared" si="9"/>
        <v/>
      </c>
      <c r="AW58" t="str">
        <f t="shared" si="10"/>
        <v/>
      </c>
      <c r="AX58" t="str">
        <f t="shared" si="11"/>
        <v/>
      </c>
      <c r="AY58" t="str">
        <f t="shared" si="12"/>
        <v/>
      </c>
    </row>
    <row r="59" spans="1:51" x14ac:dyDescent="0.3">
      <c r="A59" s="16" t="s">
        <v>111</v>
      </c>
      <c r="B59" s="16" t="s">
        <v>223</v>
      </c>
      <c r="C59" s="16" t="s">
        <v>229</v>
      </c>
      <c r="D59" s="16" t="s">
        <v>224</v>
      </c>
      <c r="W59" t="e">
        <f t="shared" si="13"/>
        <v>#N/A</v>
      </c>
      <c r="X59" t="str">
        <f t="shared" si="14"/>
        <v/>
      </c>
      <c r="Y59" t="str">
        <f t="shared" si="15"/>
        <v>Step 3</v>
      </c>
      <c r="Z59" t="str">
        <f t="shared" si="16"/>
        <v/>
      </c>
      <c r="AA59" t="str">
        <f t="shared" si="17"/>
        <v/>
      </c>
      <c r="AB59" t="str">
        <f t="shared" si="18"/>
        <v/>
      </c>
      <c r="AC59" t="str">
        <f t="shared" si="19"/>
        <v/>
      </c>
      <c r="AD59" t="str">
        <f t="shared" si="20"/>
        <v/>
      </c>
      <c r="AE59" t="str">
        <f t="shared" si="1"/>
        <v/>
      </c>
      <c r="AG59" t="e">
        <f t="shared" si="21"/>
        <v>#N/A</v>
      </c>
      <c r="AH59" t="str">
        <f t="shared" si="22"/>
        <v/>
      </c>
      <c r="AI59" t="str">
        <f t="shared" si="23"/>
        <v/>
      </c>
      <c r="AJ59" t="str">
        <f t="shared" si="24"/>
        <v/>
      </c>
      <c r="AK59" t="str">
        <f t="shared" si="25"/>
        <v/>
      </c>
      <c r="AL59" t="str">
        <f t="shared" si="26"/>
        <v/>
      </c>
      <c r="AM59" t="str">
        <f t="shared" si="27"/>
        <v/>
      </c>
      <c r="AN59" t="str">
        <f t="shared" si="2"/>
        <v/>
      </c>
      <c r="AO59" t="str">
        <f t="shared" si="3"/>
        <v>Step 9</v>
      </c>
      <c r="AQ59" t="e">
        <f t="shared" si="4"/>
        <v>#N/A</v>
      </c>
      <c r="AR59" t="str">
        <f t="shared" si="5"/>
        <v/>
      </c>
      <c r="AS59" t="str">
        <f t="shared" si="6"/>
        <v/>
      </c>
      <c r="AT59" t="str">
        <f t="shared" si="7"/>
        <v>Step 4</v>
      </c>
      <c r="AU59" t="str">
        <f t="shared" si="8"/>
        <v/>
      </c>
      <c r="AV59" t="str">
        <f t="shared" si="9"/>
        <v/>
      </c>
      <c r="AW59" t="str">
        <f t="shared" si="10"/>
        <v/>
      </c>
      <c r="AX59" t="str">
        <f t="shared" si="11"/>
        <v/>
      </c>
      <c r="AY59" t="str">
        <f t="shared" si="12"/>
        <v/>
      </c>
    </row>
    <row r="60" spans="1:51" x14ac:dyDescent="0.3">
      <c r="A60" s="16" t="s">
        <v>112</v>
      </c>
      <c r="B60" s="16" t="s">
        <v>223</v>
      </c>
      <c r="C60" s="16" t="s">
        <v>226</v>
      </c>
      <c r="D60" s="16" t="s">
        <v>229</v>
      </c>
      <c r="W60" t="e">
        <f t="shared" si="13"/>
        <v>#N/A</v>
      </c>
      <c r="X60" t="str">
        <f t="shared" si="14"/>
        <v/>
      </c>
      <c r="Y60" t="str">
        <f t="shared" si="15"/>
        <v>Step 3</v>
      </c>
      <c r="Z60" t="str">
        <f t="shared" si="16"/>
        <v/>
      </c>
      <c r="AA60" t="str">
        <f t="shared" si="17"/>
        <v/>
      </c>
      <c r="AB60" t="str">
        <f t="shared" si="18"/>
        <v/>
      </c>
      <c r="AC60" t="str">
        <f t="shared" si="19"/>
        <v/>
      </c>
      <c r="AD60" t="str">
        <f t="shared" si="20"/>
        <v/>
      </c>
      <c r="AE60" t="str">
        <f t="shared" si="1"/>
        <v/>
      </c>
      <c r="AG60" t="e">
        <f t="shared" si="21"/>
        <v>#N/A</v>
      </c>
      <c r="AH60" t="str">
        <f t="shared" si="22"/>
        <v/>
      </c>
      <c r="AI60" t="str">
        <f t="shared" si="23"/>
        <v/>
      </c>
      <c r="AJ60" t="str">
        <f t="shared" si="24"/>
        <v/>
      </c>
      <c r="AK60" t="str">
        <f t="shared" si="25"/>
        <v/>
      </c>
      <c r="AL60" t="str">
        <f t="shared" si="26"/>
        <v>Step 6</v>
      </c>
      <c r="AM60" t="str">
        <f t="shared" si="27"/>
        <v/>
      </c>
      <c r="AN60" t="str">
        <f t="shared" si="2"/>
        <v/>
      </c>
      <c r="AO60" t="str">
        <f t="shared" si="3"/>
        <v/>
      </c>
      <c r="AQ60" t="e">
        <f t="shared" si="4"/>
        <v>#N/A</v>
      </c>
      <c r="AR60" t="str">
        <f t="shared" si="5"/>
        <v/>
      </c>
      <c r="AS60" t="str">
        <f t="shared" si="6"/>
        <v/>
      </c>
      <c r="AT60" t="str">
        <f t="shared" si="7"/>
        <v/>
      </c>
      <c r="AU60" t="str">
        <f t="shared" si="8"/>
        <v/>
      </c>
      <c r="AV60" t="str">
        <f t="shared" si="9"/>
        <v/>
      </c>
      <c r="AW60" t="str">
        <f t="shared" si="10"/>
        <v/>
      </c>
      <c r="AX60" t="str">
        <f t="shared" si="11"/>
        <v/>
      </c>
      <c r="AY60" t="str">
        <f t="shared" si="12"/>
        <v>Step 9</v>
      </c>
    </row>
    <row r="61" spans="1:51" x14ac:dyDescent="0.3">
      <c r="A61" s="16" t="s">
        <v>113</v>
      </c>
      <c r="B61" s="16" t="s">
        <v>226</v>
      </c>
      <c r="C61" s="16" t="s">
        <v>226</v>
      </c>
      <c r="D61" s="16" t="s">
        <v>228</v>
      </c>
      <c r="W61" t="e">
        <f t="shared" si="13"/>
        <v>#N/A</v>
      </c>
      <c r="X61" t="str">
        <f t="shared" si="14"/>
        <v/>
      </c>
      <c r="Y61" t="str">
        <f t="shared" si="15"/>
        <v/>
      </c>
      <c r="Z61" t="str">
        <f t="shared" si="16"/>
        <v/>
      </c>
      <c r="AA61" t="str">
        <f t="shared" si="17"/>
        <v/>
      </c>
      <c r="AB61" t="str">
        <f t="shared" si="18"/>
        <v>Step 6</v>
      </c>
      <c r="AC61" t="str">
        <f t="shared" si="19"/>
        <v/>
      </c>
      <c r="AD61" t="str">
        <f t="shared" si="20"/>
        <v/>
      </c>
      <c r="AE61" t="str">
        <f t="shared" si="1"/>
        <v/>
      </c>
      <c r="AG61" t="e">
        <f t="shared" si="21"/>
        <v>#N/A</v>
      </c>
      <c r="AH61" t="str">
        <f t="shared" si="22"/>
        <v/>
      </c>
      <c r="AI61" t="str">
        <f t="shared" si="23"/>
        <v/>
      </c>
      <c r="AJ61" t="str">
        <f t="shared" si="24"/>
        <v/>
      </c>
      <c r="AK61" t="str">
        <f t="shared" si="25"/>
        <v/>
      </c>
      <c r="AL61" t="str">
        <f t="shared" si="26"/>
        <v>Step 6</v>
      </c>
      <c r="AM61" t="str">
        <f t="shared" si="27"/>
        <v/>
      </c>
      <c r="AN61" t="str">
        <f t="shared" si="2"/>
        <v/>
      </c>
      <c r="AO61" t="str">
        <f t="shared" si="3"/>
        <v/>
      </c>
      <c r="AQ61" t="e">
        <f t="shared" si="4"/>
        <v>#N/A</v>
      </c>
      <c r="AR61" t="str">
        <f t="shared" si="5"/>
        <v/>
      </c>
      <c r="AS61" t="str">
        <f t="shared" si="6"/>
        <v/>
      </c>
      <c r="AT61" t="str">
        <f t="shared" si="7"/>
        <v/>
      </c>
      <c r="AU61" t="str">
        <f t="shared" si="8"/>
        <v/>
      </c>
      <c r="AV61" t="str">
        <f t="shared" si="9"/>
        <v/>
      </c>
      <c r="AW61" t="str">
        <f t="shared" si="10"/>
        <v/>
      </c>
      <c r="AX61" t="str">
        <f t="shared" si="11"/>
        <v>Step 8</v>
      </c>
      <c r="AY61" t="str">
        <f t="shared" si="12"/>
        <v/>
      </c>
    </row>
    <row r="62" spans="1:51" x14ac:dyDescent="0.3">
      <c r="A62" s="16" t="s">
        <v>114</v>
      </c>
      <c r="B62" s="16" t="s">
        <v>226</v>
      </c>
      <c r="C62" s="16" t="s">
        <v>222</v>
      </c>
      <c r="D62" s="16" t="s">
        <v>222</v>
      </c>
      <c r="W62" t="e">
        <f t="shared" si="13"/>
        <v>#N/A</v>
      </c>
      <c r="X62" t="str">
        <f t="shared" si="14"/>
        <v/>
      </c>
      <c r="Y62" t="str">
        <f t="shared" si="15"/>
        <v/>
      </c>
      <c r="Z62" t="str">
        <f t="shared" si="16"/>
        <v/>
      </c>
      <c r="AA62" t="str">
        <f t="shared" si="17"/>
        <v/>
      </c>
      <c r="AB62" t="str">
        <f t="shared" si="18"/>
        <v>Step 6</v>
      </c>
      <c r="AC62" t="str">
        <f t="shared" si="19"/>
        <v/>
      </c>
      <c r="AD62" t="str">
        <f t="shared" si="20"/>
        <v/>
      </c>
      <c r="AE62" t="str">
        <f t="shared" si="1"/>
        <v/>
      </c>
      <c r="AG62" t="e">
        <f t="shared" si="21"/>
        <v>#N/A</v>
      </c>
      <c r="AH62" t="str">
        <f t="shared" si="22"/>
        <v>Step 2</v>
      </c>
      <c r="AI62" t="str">
        <f t="shared" si="23"/>
        <v/>
      </c>
      <c r="AJ62" t="str">
        <f t="shared" si="24"/>
        <v/>
      </c>
      <c r="AK62" t="str">
        <f t="shared" si="25"/>
        <v/>
      </c>
      <c r="AL62" t="str">
        <f t="shared" si="26"/>
        <v/>
      </c>
      <c r="AM62" t="str">
        <f t="shared" si="27"/>
        <v/>
      </c>
      <c r="AN62" t="str">
        <f t="shared" si="2"/>
        <v/>
      </c>
      <c r="AO62" t="str">
        <f t="shared" si="3"/>
        <v/>
      </c>
      <c r="AQ62" t="e">
        <f t="shared" si="4"/>
        <v>#N/A</v>
      </c>
      <c r="AR62" t="str">
        <f t="shared" si="5"/>
        <v>Step 2</v>
      </c>
      <c r="AS62" t="str">
        <f t="shared" si="6"/>
        <v/>
      </c>
      <c r="AT62" t="str">
        <f t="shared" si="7"/>
        <v/>
      </c>
      <c r="AU62" t="str">
        <f t="shared" si="8"/>
        <v/>
      </c>
      <c r="AV62" t="str">
        <f t="shared" si="9"/>
        <v/>
      </c>
      <c r="AW62" t="str">
        <f t="shared" si="10"/>
        <v/>
      </c>
      <c r="AX62" t="str">
        <f t="shared" si="11"/>
        <v/>
      </c>
      <c r="AY62" t="str">
        <f t="shared" si="12"/>
        <v/>
      </c>
    </row>
    <row r="63" spans="1:51" x14ac:dyDescent="0.3">
      <c r="A63" s="16" t="s">
        <v>115</v>
      </c>
      <c r="B63" s="16" t="s">
        <v>228</v>
      </c>
      <c r="C63" s="16" t="s">
        <v>221</v>
      </c>
      <c r="D63" s="16" t="s">
        <v>223</v>
      </c>
      <c r="W63" t="e">
        <f t="shared" si="13"/>
        <v>#N/A</v>
      </c>
      <c r="X63" t="str">
        <f t="shared" si="14"/>
        <v/>
      </c>
      <c r="Y63" t="str">
        <f t="shared" si="15"/>
        <v/>
      </c>
      <c r="Z63" t="str">
        <f t="shared" si="16"/>
        <v/>
      </c>
      <c r="AA63" t="str">
        <f t="shared" si="17"/>
        <v/>
      </c>
      <c r="AB63" t="str">
        <f t="shared" si="18"/>
        <v/>
      </c>
      <c r="AC63" t="str">
        <f t="shared" si="19"/>
        <v/>
      </c>
      <c r="AD63" t="str">
        <f t="shared" si="20"/>
        <v>Step 8</v>
      </c>
      <c r="AE63" t="str">
        <f t="shared" si="1"/>
        <v/>
      </c>
      <c r="AG63" t="str">
        <f t="shared" si="21"/>
        <v>Step 1</v>
      </c>
      <c r="AH63" t="str">
        <f t="shared" si="22"/>
        <v/>
      </c>
      <c r="AI63" t="str">
        <f t="shared" si="23"/>
        <v/>
      </c>
      <c r="AJ63" t="str">
        <f t="shared" si="24"/>
        <v/>
      </c>
      <c r="AK63" t="str">
        <f t="shared" si="25"/>
        <v/>
      </c>
      <c r="AL63" t="str">
        <f t="shared" si="26"/>
        <v/>
      </c>
      <c r="AM63" t="str">
        <f t="shared" si="27"/>
        <v/>
      </c>
      <c r="AN63" t="str">
        <f t="shared" si="2"/>
        <v/>
      </c>
      <c r="AO63" t="str">
        <f t="shared" si="3"/>
        <v/>
      </c>
      <c r="AQ63" t="e">
        <f t="shared" si="4"/>
        <v>#N/A</v>
      </c>
      <c r="AR63" t="str">
        <f t="shared" si="5"/>
        <v/>
      </c>
      <c r="AS63" t="str">
        <f t="shared" si="6"/>
        <v>Step 3</v>
      </c>
      <c r="AT63" t="str">
        <f t="shared" si="7"/>
        <v/>
      </c>
      <c r="AU63" t="str">
        <f t="shared" si="8"/>
        <v/>
      </c>
      <c r="AV63" t="str">
        <f t="shared" si="9"/>
        <v/>
      </c>
      <c r="AW63" t="str">
        <f t="shared" si="10"/>
        <v/>
      </c>
      <c r="AX63" t="str">
        <f t="shared" si="11"/>
        <v/>
      </c>
      <c r="AY63" t="str">
        <f t="shared" si="12"/>
        <v/>
      </c>
    </row>
    <row r="64" spans="1:51" x14ac:dyDescent="0.3">
      <c r="A64" s="16" t="s">
        <v>116</v>
      </c>
      <c r="B64" s="16" t="s">
        <v>221</v>
      </c>
      <c r="C64" s="16" t="s">
        <v>225</v>
      </c>
      <c r="D64" s="16" t="s">
        <v>221</v>
      </c>
      <c r="W64" t="str">
        <f t="shared" si="13"/>
        <v>Step 1</v>
      </c>
      <c r="X64" t="str">
        <f t="shared" si="14"/>
        <v/>
      </c>
      <c r="Y64" t="str">
        <f t="shared" si="15"/>
        <v/>
      </c>
      <c r="Z64" t="str">
        <f t="shared" si="16"/>
        <v/>
      </c>
      <c r="AA64" t="str">
        <f t="shared" si="17"/>
        <v/>
      </c>
      <c r="AB64" t="str">
        <f t="shared" si="18"/>
        <v/>
      </c>
      <c r="AC64" t="str">
        <f t="shared" si="19"/>
        <v/>
      </c>
      <c r="AD64" t="str">
        <f t="shared" si="20"/>
        <v/>
      </c>
      <c r="AE64" t="str">
        <f t="shared" si="1"/>
        <v/>
      </c>
      <c r="AG64" t="e">
        <f t="shared" si="21"/>
        <v>#N/A</v>
      </c>
      <c r="AH64" t="str">
        <f t="shared" si="22"/>
        <v/>
      </c>
      <c r="AI64" t="str">
        <f t="shared" si="23"/>
        <v/>
      </c>
      <c r="AJ64" t="str">
        <f t="shared" si="24"/>
        <v/>
      </c>
      <c r="AK64" t="str">
        <f t="shared" si="25"/>
        <v>Step 5</v>
      </c>
      <c r="AL64" t="str">
        <f t="shared" si="26"/>
        <v/>
      </c>
      <c r="AM64" t="str">
        <f t="shared" si="27"/>
        <v/>
      </c>
      <c r="AN64" t="str">
        <f t="shared" si="2"/>
        <v/>
      </c>
      <c r="AO64" t="str">
        <f t="shared" si="3"/>
        <v/>
      </c>
      <c r="AQ64" t="str">
        <f t="shared" si="4"/>
        <v>Step 1</v>
      </c>
      <c r="AR64" t="str">
        <f t="shared" si="5"/>
        <v/>
      </c>
      <c r="AS64" t="str">
        <f t="shared" si="6"/>
        <v/>
      </c>
      <c r="AT64" t="str">
        <f t="shared" si="7"/>
        <v/>
      </c>
      <c r="AU64" t="str">
        <f t="shared" si="8"/>
        <v/>
      </c>
      <c r="AV64" t="str">
        <f t="shared" si="9"/>
        <v/>
      </c>
      <c r="AW64" t="str">
        <f t="shared" si="10"/>
        <v/>
      </c>
      <c r="AX64" t="str">
        <f t="shared" si="11"/>
        <v/>
      </c>
      <c r="AY64" t="str">
        <f t="shared" si="12"/>
        <v/>
      </c>
    </row>
    <row r="65" spans="1:51" x14ac:dyDescent="0.3">
      <c r="A65" s="16" t="s">
        <v>117</v>
      </c>
      <c r="B65" s="16" t="s">
        <v>228</v>
      </c>
      <c r="C65" s="16" t="s">
        <v>222</v>
      </c>
      <c r="D65" s="16" t="s">
        <v>222</v>
      </c>
      <c r="W65" t="e">
        <f t="shared" si="13"/>
        <v>#N/A</v>
      </c>
      <c r="X65" t="str">
        <f t="shared" si="14"/>
        <v/>
      </c>
      <c r="Y65" t="str">
        <f t="shared" si="15"/>
        <v/>
      </c>
      <c r="Z65" t="str">
        <f t="shared" si="16"/>
        <v/>
      </c>
      <c r="AA65" t="str">
        <f t="shared" si="17"/>
        <v/>
      </c>
      <c r="AB65" t="str">
        <f t="shared" si="18"/>
        <v/>
      </c>
      <c r="AC65" t="str">
        <f t="shared" si="19"/>
        <v/>
      </c>
      <c r="AD65" t="str">
        <f t="shared" si="20"/>
        <v>Step 8</v>
      </c>
      <c r="AE65" t="str">
        <f t="shared" si="1"/>
        <v/>
      </c>
      <c r="AG65" t="e">
        <f t="shared" si="21"/>
        <v>#N/A</v>
      </c>
      <c r="AH65" t="str">
        <f t="shared" si="22"/>
        <v>Step 2</v>
      </c>
      <c r="AI65" t="str">
        <f t="shared" si="23"/>
        <v/>
      </c>
      <c r="AJ65" t="str">
        <f t="shared" si="24"/>
        <v/>
      </c>
      <c r="AK65" t="str">
        <f t="shared" si="25"/>
        <v/>
      </c>
      <c r="AL65" t="str">
        <f t="shared" si="26"/>
        <v/>
      </c>
      <c r="AM65" t="str">
        <f t="shared" si="27"/>
        <v/>
      </c>
      <c r="AN65" t="str">
        <f t="shared" si="2"/>
        <v/>
      </c>
      <c r="AO65" t="str">
        <f t="shared" si="3"/>
        <v/>
      </c>
      <c r="AQ65" t="e">
        <f t="shared" si="4"/>
        <v>#N/A</v>
      </c>
      <c r="AR65" t="str">
        <f t="shared" si="5"/>
        <v>Step 2</v>
      </c>
      <c r="AS65" t="str">
        <f t="shared" si="6"/>
        <v/>
      </c>
      <c r="AT65" t="str">
        <f t="shared" si="7"/>
        <v/>
      </c>
      <c r="AU65" t="str">
        <f t="shared" si="8"/>
        <v/>
      </c>
      <c r="AV65" t="str">
        <f t="shared" si="9"/>
        <v/>
      </c>
      <c r="AW65" t="str">
        <f t="shared" si="10"/>
        <v/>
      </c>
      <c r="AX65" t="str">
        <f t="shared" si="11"/>
        <v/>
      </c>
      <c r="AY65" t="str">
        <f t="shared" si="12"/>
        <v/>
      </c>
    </row>
    <row r="66" spans="1:51" x14ac:dyDescent="0.3">
      <c r="A66" s="16" t="s">
        <v>118</v>
      </c>
      <c r="B66" s="16" t="s">
        <v>227</v>
      </c>
      <c r="C66" s="16" t="s">
        <v>223</v>
      </c>
      <c r="D66" s="16" t="s">
        <v>223</v>
      </c>
      <c r="W66" t="e">
        <f t="shared" si="13"/>
        <v>#N/A</v>
      </c>
      <c r="X66" t="str">
        <f t="shared" si="14"/>
        <v/>
      </c>
      <c r="Y66" t="str">
        <f t="shared" si="15"/>
        <v/>
      </c>
      <c r="Z66" t="str">
        <f t="shared" si="16"/>
        <v/>
      </c>
      <c r="AA66" t="str">
        <f t="shared" si="17"/>
        <v/>
      </c>
      <c r="AB66" t="str">
        <f t="shared" si="18"/>
        <v/>
      </c>
      <c r="AC66" t="str">
        <f t="shared" si="19"/>
        <v>Step 7</v>
      </c>
      <c r="AD66" t="str">
        <f t="shared" si="20"/>
        <v/>
      </c>
      <c r="AE66" t="str">
        <f t="shared" si="1"/>
        <v/>
      </c>
      <c r="AG66" t="e">
        <f t="shared" si="21"/>
        <v>#N/A</v>
      </c>
      <c r="AH66" t="str">
        <f t="shared" si="22"/>
        <v/>
      </c>
      <c r="AI66" t="str">
        <f t="shared" si="23"/>
        <v>Step 3</v>
      </c>
      <c r="AJ66" t="str">
        <f t="shared" si="24"/>
        <v/>
      </c>
      <c r="AK66" t="str">
        <f t="shared" si="25"/>
        <v/>
      </c>
      <c r="AL66" t="str">
        <f t="shared" si="26"/>
        <v/>
      </c>
      <c r="AM66" t="str">
        <f t="shared" si="27"/>
        <v/>
      </c>
      <c r="AN66" t="str">
        <f t="shared" si="2"/>
        <v/>
      </c>
      <c r="AO66" t="str">
        <f t="shared" si="3"/>
        <v/>
      </c>
      <c r="AQ66" t="e">
        <f t="shared" si="4"/>
        <v>#N/A</v>
      </c>
      <c r="AR66" t="str">
        <f t="shared" si="5"/>
        <v/>
      </c>
      <c r="AS66" t="str">
        <f t="shared" si="6"/>
        <v>Step 3</v>
      </c>
      <c r="AT66" t="str">
        <f t="shared" si="7"/>
        <v/>
      </c>
      <c r="AU66" t="str">
        <f t="shared" si="8"/>
        <v/>
      </c>
      <c r="AV66" t="str">
        <f t="shared" si="9"/>
        <v/>
      </c>
      <c r="AW66" t="str">
        <f t="shared" si="10"/>
        <v/>
      </c>
      <c r="AX66" t="str">
        <f t="shared" si="11"/>
        <v/>
      </c>
      <c r="AY66" t="str">
        <f t="shared" si="12"/>
        <v/>
      </c>
    </row>
    <row r="67" spans="1:51" x14ac:dyDescent="0.3">
      <c r="A67" s="16" t="s">
        <v>119</v>
      </c>
      <c r="B67" s="16" t="s">
        <v>222</v>
      </c>
      <c r="C67" s="16" t="s">
        <v>225</v>
      </c>
      <c r="D67" s="16" t="s">
        <v>222</v>
      </c>
      <c r="W67" t="e">
        <f t="shared" si="13"/>
        <v>#N/A</v>
      </c>
      <c r="X67" t="str">
        <f t="shared" si="14"/>
        <v>Step 2</v>
      </c>
      <c r="Y67" t="str">
        <f t="shared" si="15"/>
        <v/>
      </c>
      <c r="Z67" t="str">
        <f t="shared" si="16"/>
        <v/>
      </c>
      <c r="AA67" t="str">
        <f t="shared" si="17"/>
        <v/>
      </c>
      <c r="AB67" t="str">
        <f t="shared" si="18"/>
        <v/>
      </c>
      <c r="AC67" t="str">
        <f t="shared" si="19"/>
        <v/>
      </c>
      <c r="AD67" t="str">
        <f t="shared" si="20"/>
        <v/>
      </c>
      <c r="AE67" t="str">
        <f t="shared" si="1"/>
        <v/>
      </c>
      <c r="AG67" t="e">
        <f t="shared" si="21"/>
        <v>#N/A</v>
      </c>
      <c r="AH67" t="str">
        <f t="shared" si="22"/>
        <v/>
      </c>
      <c r="AI67" t="str">
        <f t="shared" si="23"/>
        <v/>
      </c>
      <c r="AJ67" t="str">
        <f t="shared" si="24"/>
        <v/>
      </c>
      <c r="AK67" t="str">
        <f t="shared" si="25"/>
        <v>Step 5</v>
      </c>
      <c r="AL67" t="str">
        <f t="shared" si="26"/>
        <v/>
      </c>
      <c r="AM67" t="str">
        <f t="shared" si="27"/>
        <v/>
      </c>
      <c r="AN67" t="str">
        <f t="shared" si="2"/>
        <v/>
      </c>
      <c r="AO67" t="str">
        <f t="shared" si="3"/>
        <v/>
      </c>
      <c r="AQ67" t="e">
        <f t="shared" si="4"/>
        <v>#N/A</v>
      </c>
      <c r="AR67" t="str">
        <f t="shared" si="5"/>
        <v>Step 2</v>
      </c>
      <c r="AS67" t="str">
        <f t="shared" si="6"/>
        <v/>
      </c>
      <c r="AT67" t="str">
        <f t="shared" si="7"/>
        <v/>
      </c>
      <c r="AU67" t="str">
        <f t="shared" si="8"/>
        <v/>
      </c>
      <c r="AV67" t="str">
        <f t="shared" si="9"/>
        <v/>
      </c>
      <c r="AW67" t="str">
        <f t="shared" si="10"/>
        <v/>
      </c>
      <c r="AX67" t="str">
        <f t="shared" si="11"/>
        <v/>
      </c>
      <c r="AY67" t="str">
        <f t="shared" si="12"/>
        <v/>
      </c>
    </row>
    <row r="68" spans="1:51" x14ac:dyDescent="0.3">
      <c r="A68" s="16" t="s">
        <v>120</v>
      </c>
      <c r="B68" s="16" t="s">
        <v>228</v>
      </c>
      <c r="C68" s="16" t="s">
        <v>225</v>
      </c>
      <c r="D68" s="16" t="s">
        <v>224</v>
      </c>
      <c r="W68" t="e">
        <f t="shared" si="13"/>
        <v>#N/A</v>
      </c>
      <c r="X68" t="str">
        <f t="shared" si="14"/>
        <v/>
      </c>
      <c r="Y68" t="str">
        <f t="shared" si="15"/>
        <v/>
      </c>
      <c r="Z68" t="str">
        <f t="shared" si="16"/>
        <v/>
      </c>
      <c r="AA68" t="str">
        <f t="shared" si="17"/>
        <v/>
      </c>
      <c r="AB68" t="str">
        <f t="shared" si="18"/>
        <v/>
      </c>
      <c r="AC68" t="str">
        <f t="shared" si="19"/>
        <v/>
      </c>
      <c r="AD68" t="str">
        <f t="shared" si="20"/>
        <v>Step 8</v>
      </c>
      <c r="AE68" t="str">
        <f t="shared" si="1"/>
        <v/>
      </c>
      <c r="AG68" t="e">
        <f t="shared" si="21"/>
        <v>#N/A</v>
      </c>
      <c r="AH68" t="str">
        <f t="shared" si="22"/>
        <v/>
      </c>
      <c r="AI68" t="str">
        <f t="shared" si="23"/>
        <v/>
      </c>
      <c r="AJ68" t="str">
        <f t="shared" si="24"/>
        <v/>
      </c>
      <c r="AK68" t="str">
        <f t="shared" si="25"/>
        <v>Step 5</v>
      </c>
      <c r="AL68" t="str">
        <f t="shared" si="26"/>
        <v/>
      </c>
      <c r="AM68" t="str">
        <f t="shared" si="27"/>
        <v/>
      </c>
      <c r="AN68" t="str">
        <f t="shared" si="2"/>
        <v/>
      </c>
      <c r="AO68" t="str">
        <f t="shared" si="3"/>
        <v/>
      </c>
      <c r="AQ68" t="e">
        <f t="shared" si="4"/>
        <v>#N/A</v>
      </c>
      <c r="AR68" t="str">
        <f t="shared" si="5"/>
        <v/>
      </c>
      <c r="AS68" t="str">
        <f t="shared" si="6"/>
        <v/>
      </c>
      <c r="AT68" t="str">
        <f t="shared" si="7"/>
        <v>Step 4</v>
      </c>
      <c r="AU68" t="str">
        <f t="shared" si="8"/>
        <v/>
      </c>
      <c r="AV68" t="str">
        <f t="shared" si="9"/>
        <v/>
      </c>
      <c r="AW68" t="str">
        <f t="shared" si="10"/>
        <v/>
      </c>
      <c r="AX68" t="str">
        <f t="shared" si="11"/>
        <v/>
      </c>
      <c r="AY68" t="str">
        <f t="shared" si="12"/>
        <v/>
      </c>
    </row>
    <row r="69" spans="1:51" x14ac:dyDescent="0.3">
      <c r="A69" s="16" t="s">
        <v>121</v>
      </c>
      <c r="B69" s="16" t="s">
        <v>227</v>
      </c>
      <c r="C69" s="16" t="s">
        <v>227</v>
      </c>
      <c r="D69" s="16" t="s">
        <v>221</v>
      </c>
      <c r="W69" t="e">
        <f t="shared" si="13"/>
        <v>#N/A</v>
      </c>
      <c r="X69" t="str">
        <f t="shared" si="14"/>
        <v/>
      </c>
      <c r="Y69" t="str">
        <f t="shared" si="15"/>
        <v/>
      </c>
      <c r="Z69" t="str">
        <f t="shared" si="16"/>
        <v/>
      </c>
      <c r="AA69" t="str">
        <f t="shared" si="17"/>
        <v/>
      </c>
      <c r="AB69" t="str">
        <f t="shared" si="18"/>
        <v/>
      </c>
      <c r="AC69" t="str">
        <f t="shared" si="19"/>
        <v>Step 7</v>
      </c>
      <c r="AD69" t="str">
        <f t="shared" si="20"/>
        <v/>
      </c>
      <c r="AE69" t="str">
        <f t="shared" si="1"/>
        <v/>
      </c>
      <c r="AG69" t="e">
        <f t="shared" si="21"/>
        <v>#N/A</v>
      </c>
      <c r="AH69" t="str">
        <f t="shared" si="22"/>
        <v/>
      </c>
      <c r="AI69" t="str">
        <f t="shared" si="23"/>
        <v/>
      </c>
      <c r="AJ69" t="str">
        <f t="shared" si="24"/>
        <v/>
      </c>
      <c r="AK69" t="str">
        <f t="shared" si="25"/>
        <v/>
      </c>
      <c r="AL69" t="str">
        <f t="shared" si="26"/>
        <v/>
      </c>
      <c r="AM69" t="str">
        <f t="shared" si="27"/>
        <v>Step 7</v>
      </c>
      <c r="AN69" t="str">
        <f t="shared" si="2"/>
        <v/>
      </c>
      <c r="AO69" t="str">
        <f t="shared" si="3"/>
        <v/>
      </c>
      <c r="AQ69" t="str">
        <f t="shared" si="4"/>
        <v>Step 1</v>
      </c>
      <c r="AR69" t="str">
        <f t="shared" si="5"/>
        <v/>
      </c>
      <c r="AS69" t="str">
        <f t="shared" si="6"/>
        <v/>
      </c>
      <c r="AT69" t="str">
        <f t="shared" si="7"/>
        <v/>
      </c>
      <c r="AU69" t="str">
        <f t="shared" si="8"/>
        <v/>
      </c>
      <c r="AV69" t="str">
        <f t="shared" si="9"/>
        <v/>
      </c>
      <c r="AW69" t="str">
        <f t="shared" si="10"/>
        <v/>
      </c>
      <c r="AX69" t="str">
        <f t="shared" si="11"/>
        <v/>
      </c>
      <c r="AY69" t="str">
        <f t="shared" si="12"/>
        <v/>
      </c>
    </row>
    <row r="70" spans="1:51" x14ac:dyDescent="0.3">
      <c r="A70" s="16" t="s">
        <v>122</v>
      </c>
      <c r="B70" s="16" t="s">
        <v>223</v>
      </c>
      <c r="C70" s="16" t="s">
        <v>223</v>
      </c>
      <c r="D70" s="16" t="s">
        <v>226</v>
      </c>
      <c r="W70" t="e">
        <f t="shared" si="13"/>
        <v>#N/A</v>
      </c>
      <c r="X70" t="str">
        <f t="shared" si="14"/>
        <v/>
      </c>
      <c r="Y70" t="str">
        <f t="shared" si="15"/>
        <v>Step 3</v>
      </c>
      <c r="Z70" t="str">
        <f t="shared" si="16"/>
        <v/>
      </c>
      <c r="AA70" t="str">
        <f t="shared" si="17"/>
        <v/>
      </c>
      <c r="AB70" t="str">
        <f t="shared" si="18"/>
        <v/>
      </c>
      <c r="AC70" t="str">
        <f t="shared" si="19"/>
        <v/>
      </c>
      <c r="AD70" t="str">
        <f t="shared" si="20"/>
        <v/>
      </c>
      <c r="AE70" t="str">
        <f t="shared" si="1"/>
        <v/>
      </c>
      <c r="AG70" t="e">
        <f t="shared" si="21"/>
        <v>#N/A</v>
      </c>
      <c r="AH70" t="str">
        <f t="shared" si="22"/>
        <v/>
      </c>
      <c r="AI70" t="str">
        <f t="shared" si="23"/>
        <v>Step 3</v>
      </c>
      <c r="AJ70" t="str">
        <f t="shared" si="24"/>
        <v/>
      </c>
      <c r="AK70" t="str">
        <f t="shared" si="25"/>
        <v/>
      </c>
      <c r="AL70" t="str">
        <f t="shared" si="26"/>
        <v/>
      </c>
      <c r="AM70" t="str">
        <f t="shared" si="27"/>
        <v/>
      </c>
      <c r="AN70" t="str">
        <f t="shared" si="2"/>
        <v/>
      </c>
      <c r="AO70" t="str">
        <f t="shared" si="3"/>
        <v/>
      </c>
      <c r="AQ70" t="e">
        <f t="shared" si="4"/>
        <v>#N/A</v>
      </c>
      <c r="AR70" t="str">
        <f t="shared" si="5"/>
        <v/>
      </c>
      <c r="AS70" t="str">
        <f t="shared" si="6"/>
        <v/>
      </c>
      <c r="AT70" t="str">
        <f t="shared" si="7"/>
        <v/>
      </c>
      <c r="AU70" t="str">
        <f t="shared" si="8"/>
        <v/>
      </c>
      <c r="AV70" t="str">
        <f t="shared" si="9"/>
        <v>Step 6</v>
      </c>
      <c r="AW70" t="str">
        <f t="shared" si="10"/>
        <v/>
      </c>
      <c r="AX70" t="str">
        <f t="shared" si="11"/>
        <v/>
      </c>
      <c r="AY70" t="str">
        <f t="shared" si="12"/>
        <v/>
      </c>
    </row>
    <row r="71" spans="1:51" x14ac:dyDescent="0.3">
      <c r="A71" s="16" t="s">
        <v>123</v>
      </c>
      <c r="B71" s="16" t="s">
        <v>221</v>
      </c>
      <c r="C71" s="16" t="s">
        <v>229</v>
      </c>
      <c r="D71" s="16" t="s">
        <v>222</v>
      </c>
      <c r="W71" t="str">
        <f t="shared" si="13"/>
        <v>Step 1</v>
      </c>
      <c r="X71" t="str">
        <f t="shared" si="14"/>
        <v/>
      </c>
      <c r="Y71" t="str">
        <f t="shared" si="15"/>
        <v/>
      </c>
      <c r="Z71" t="str">
        <f t="shared" si="16"/>
        <v/>
      </c>
      <c r="AA71" t="str">
        <f t="shared" si="17"/>
        <v/>
      </c>
      <c r="AB71" t="str">
        <f t="shared" si="18"/>
        <v/>
      </c>
      <c r="AC71" t="str">
        <f t="shared" si="19"/>
        <v/>
      </c>
      <c r="AD71" t="str">
        <f t="shared" si="20"/>
        <v/>
      </c>
      <c r="AE71" t="str">
        <f t="shared" si="1"/>
        <v/>
      </c>
      <c r="AG71" t="e">
        <f t="shared" si="21"/>
        <v>#N/A</v>
      </c>
      <c r="AH71" t="str">
        <f t="shared" si="22"/>
        <v/>
      </c>
      <c r="AI71" t="str">
        <f t="shared" si="23"/>
        <v/>
      </c>
      <c r="AJ71" t="str">
        <f t="shared" si="24"/>
        <v/>
      </c>
      <c r="AK71" t="str">
        <f t="shared" si="25"/>
        <v/>
      </c>
      <c r="AL71" t="str">
        <f t="shared" si="26"/>
        <v/>
      </c>
      <c r="AM71" t="str">
        <f t="shared" si="27"/>
        <v/>
      </c>
      <c r="AN71" t="str">
        <f t="shared" si="2"/>
        <v/>
      </c>
      <c r="AO71" t="str">
        <f t="shared" si="3"/>
        <v>Step 9</v>
      </c>
      <c r="AQ71" t="e">
        <f t="shared" si="4"/>
        <v>#N/A</v>
      </c>
      <c r="AR71" t="str">
        <f t="shared" si="5"/>
        <v>Step 2</v>
      </c>
      <c r="AS71" t="str">
        <f t="shared" si="6"/>
        <v/>
      </c>
      <c r="AT71" t="str">
        <f t="shared" si="7"/>
        <v/>
      </c>
      <c r="AU71" t="str">
        <f t="shared" si="8"/>
        <v/>
      </c>
      <c r="AV71" t="str">
        <f t="shared" si="9"/>
        <v/>
      </c>
      <c r="AW71" t="str">
        <f t="shared" si="10"/>
        <v/>
      </c>
      <c r="AX71" t="str">
        <f t="shared" si="11"/>
        <v/>
      </c>
      <c r="AY71" t="str">
        <f t="shared" si="12"/>
        <v/>
      </c>
    </row>
    <row r="72" spans="1:51" x14ac:dyDescent="0.3">
      <c r="A72" s="16" t="s">
        <v>124</v>
      </c>
      <c r="B72" s="16" t="s">
        <v>223</v>
      </c>
      <c r="C72" s="16" t="s">
        <v>226</v>
      </c>
      <c r="D72" s="16" t="s">
        <v>224</v>
      </c>
      <c r="W72" t="e">
        <f t="shared" si="13"/>
        <v>#N/A</v>
      </c>
      <c r="X72" t="str">
        <f t="shared" si="14"/>
        <v/>
      </c>
      <c r="Y72" t="str">
        <f t="shared" si="15"/>
        <v>Step 3</v>
      </c>
      <c r="Z72" t="str">
        <f t="shared" si="16"/>
        <v/>
      </c>
      <c r="AA72" t="str">
        <f t="shared" si="17"/>
        <v/>
      </c>
      <c r="AB72" t="str">
        <f t="shared" si="18"/>
        <v/>
      </c>
      <c r="AC72" t="str">
        <f t="shared" si="19"/>
        <v/>
      </c>
      <c r="AD72" t="str">
        <f t="shared" si="20"/>
        <v/>
      </c>
      <c r="AE72" t="str">
        <f t="shared" si="1"/>
        <v/>
      </c>
      <c r="AG72" t="e">
        <f t="shared" si="21"/>
        <v>#N/A</v>
      </c>
      <c r="AH72" t="str">
        <f t="shared" si="22"/>
        <v/>
      </c>
      <c r="AI72" t="str">
        <f t="shared" si="23"/>
        <v/>
      </c>
      <c r="AJ72" t="str">
        <f t="shared" si="24"/>
        <v/>
      </c>
      <c r="AK72" t="str">
        <f t="shared" si="25"/>
        <v/>
      </c>
      <c r="AL72" t="str">
        <f t="shared" si="26"/>
        <v>Step 6</v>
      </c>
      <c r="AM72" t="str">
        <f t="shared" si="27"/>
        <v/>
      </c>
      <c r="AN72" t="str">
        <f t="shared" si="2"/>
        <v/>
      </c>
      <c r="AO72" t="str">
        <f t="shared" si="3"/>
        <v/>
      </c>
      <c r="AQ72" t="e">
        <f t="shared" si="4"/>
        <v>#N/A</v>
      </c>
      <c r="AR72" t="str">
        <f t="shared" si="5"/>
        <v/>
      </c>
      <c r="AS72" t="str">
        <f t="shared" si="6"/>
        <v/>
      </c>
      <c r="AT72" t="str">
        <f t="shared" si="7"/>
        <v>Step 4</v>
      </c>
      <c r="AU72" t="str">
        <f t="shared" si="8"/>
        <v/>
      </c>
      <c r="AV72" t="str">
        <f t="shared" si="9"/>
        <v/>
      </c>
      <c r="AW72" t="str">
        <f t="shared" si="10"/>
        <v/>
      </c>
      <c r="AX72" t="str">
        <f t="shared" si="11"/>
        <v/>
      </c>
      <c r="AY72" t="str">
        <f t="shared" si="12"/>
        <v/>
      </c>
    </row>
    <row r="73" spans="1:51" x14ac:dyDescent="0.3">
      <c r="A73" s="16" t="s">
        <v>125</v>
      </c>
      <c r="B73" s="16" t="s">
        <v>222</v>
      </c>
      <c r="C73" s="16" t="s">
        <v>224</v>
      </c>
      <c r="D73" s="16" t="s">
        <v>222</v>
      </c>
      <c r="W73" t="e">
        <f t="shared" si="13"/>
        <v>#N/A</v>
      </c>
      <c r="X73" t="str">
        <f t="shared" si="14"/>
        <v>Step 2</v>
      </c>
      <c r="Y73" t="str">
        <f t="shared" si="15"/>
        <v/>
      </c>
      <c r="Z73" t="str">
        <f t="shared" si="16"/>
        <v/>
      </c>
      <c r="AA73" t="str">
        <f t="shared" si="17"/>
        <v/>
      </c>
      <c r="AB73" t="str">
        <f t="shared" si="18"/>
        <v/>
      </c>
      <c r="AC73" t="str">
        <f t="shared" si="19"/>
        <v/>
      </c>
      <c r="AD73" t="str">
        <f t="shared" si="20"/>
        <v/>
      </c>
      <c r="AE73" t="str">
        <f t="shared" si="1"/>
        <v/>
      </c>
      <c r="AG73" t="e">
        <f t="shared" si="21"/>
        <v>#N/A</v>
      </c>
      <c r="AH73" t="str">
        <f t="shared" si="22"/>
        <v/>
      </c>
      <c r="AI73" t="str">
        <f t="shared" si="23"/>
        <v/>
      </c>
      <c r="AJ73" t="str">
        <f t="shared" si="24"/>
        <v>Step 4</v>
      </c>
      <c r="AK73" t="str">
        <f t="shared" si="25"/>
        <v/>
      </c>
      <c r="AL73" t="str">
        <f t="shared" si="26"/>
        <v/>
      </c>
      <c r="AM73" t="str">
        <f t="shared" si="27"/>
        <v/>
      </c>
      <c r="AN73" t="str">
        <f t="shared" si="2"/>
        <v/>
      </c>
      <c r="AO73" t="str">
        <f t="shared" si="3"/>
        <v/>
      </c>
      <c r="AQ73" t="e">
        <f t="shared" si="4"/>
        <v>#N/A</v>
      </c>
      <c r="AR73" t="str">
        <f t="shared" si="5"/>
        <v>Step 2</v>
      </c>
      <c r="AS73" t="str">
        <f t="shared" si="6"/>
        <v/>
      </c>
      <c r="AT73" t="str">
        <f t="shared" si="7"/>
        <v/>
      </c>
      <c r="AU73" t="str">
        <f t="shared" si="8"/>
        <v/>
      </c>
      <c r="AV73" t="str">
        <f t="shared" si="9"/>
        <v/>
      </c>
      <c r="AW73" t="str">
        <f t="shared" si="10"/>
        <v/>
      </c>
      <c r="AX73" t="str">
        <f t="shared" si="11"/>
        <v/>
      </c>
      <c r="AY73" t="str">
        <f t="shared" si="12"/>
        <v/>
      </c>
    </row>
    <row r="74" spans="1:51" x14ac:dyDescent="0.3">
      <c r="A74" s="16" t="s">
        <v>126</v>
      </c>
      <c r="B74" s="16" t="s">
        <v>226</v>
      </c>
      <c r="C74" s="16" t="s">
        <v>227</v>
      </c>
      <c r="D74" s="16" t="s">
        <v>227</v>
      </c>
      <c r="W74" t="e">
        <f t="shared" si="13"/>
        <v>#N/A</v>
      </c>
      <c r="X74" t="str">
        <f t="shared" si="14"/>
        <v/>
      </c>
      <c r="Y74" t="str">
        <f t="shared" si="15"/>
        <v/>
      </c>
      <c r="Z74" t="str">
        <f t="shared" si="16"/>
        <v/>
      </c>
      <c r="AA74" t="str">
        <f t="shared" si="17"/>
        <v/>
      </c>
      <c r="AB74" t="str">
        <f t="shared" si="18"/>
        <v>Step 6</v>
      </c>
      <c r="AC74" t="str">
        <f t="shared" si="19"/>
        <v/>
      </c>
      <c r="AD74" t="str">
        <f t="shared" si="20"/>
        <v/>
      </c>
      <c r="AE74" t="str">
        <f t="shared" si="1"/>
        <v/>
      </c>
      <c r="AG74" t="e">
        <f t="shared" si="21"/>
        <v>#N/A</v>
      </c>
      <c r="AH74" t="str">
        <f t="shared" si="22"/>
        <v/>
      </c>
      <c r="AI74" t="str">
        <f t="shared" si="23"/>
        <v/>
      </c>
      <c r="AJ74" t="str">
        <f t="shared" si="24"/>
        <v/>
      </c>
      <c r="AK74" t="str">
        <f t="shared" si="25"/>
        <v/>
      </c>
      <c r="AL74" t="str">
        <f t="shared" si="26"/>
        <v/>
      </c>
      <c r="AM74" t="str">
        <f t="shared" si="27"/>
        <v>Step 7</v>
      </c>
      <c r="AN74" t="str">
        <f t="shared" si="2"/>
        <v/>
      </c>
      <c r="AO74" t="str">
        <f t="shared" si="3"/>
        <v/>
      </c>
      <c r="AQ74" t="e">
        <f t="shared" si="4"/>
        <v>#N/A</v>
      </c>
      <c r="AR74" t="str">
        <f t="shared" si="5"/>
        <v/>
      </c>
      <c r="AS74" t="str">
        <f t="shared" si="6"/>
        <v/>
      </c>
      <c r="AT74" t="str">
        <f t="shared" si="7"/>
        <v/>
      </c>
      <c r="AU74" t="str">
        <f t="shared" si="8"/>
        <v/>
      </c>
      <c r="AV74" t="str">
        <f t="shared" si="9"/>
        <v/>
      </c>
      <c r="AW74" t="str">
        <f t="shared" si="10"/>
        <v>Step 7</v>
      </c>
      <c r="AX74" t="str">
        <f t="shared" si="11"/>
        <v/>
      </c>
      <c r="AY74" t="str">
        <f t="shared" si="12"/>
        <v/>
      </c>
    </row>
    <row r="75" spans="1:51" x14ac:dyDescent="0.3">
      <c r="A75" s="16" t="s">
        <v>127</v>
      </c>
      <c r="B75" s="16" t="s">
        <v>222</v>
      </c>
      <c r="C75" s="16" t="s">
        <v>223</v>
      </c>
      <c r="D75" s="16" t="s">
        <v>224</v>
      </c>
      <c r="W75" t="e">
        <f t="shared" si="13"/>
        <v>#N/A</v>
      </c>
      <c r="X75" t="str">
        <f t="shared" si="14"/>
        <v>Step 2</v>
      </c>
      <c r="Y75" t="str">
        <f t="shared" si="15"/>
        <v/>
      </c>
      <c r="Z75" t="str">
        <f t="shared" si="16"/>
        <v/>
      </c>
      <c r="AA75" t="str">
        <f t="shared" si="17"/>
        <v/>
      </c>
      <c r="AB75" t="str">
        <f t="shared" si="18"/>
        <v/>
      </c>
      <c r="AC75" t="str">
        <f t="shared" si="19"/>
        <v/>
      </c>
      <c r="AD75" t="str">
        <f t="shared" si="20"/>
        <v/>
      </c>
      <c r="AE75" t="str">
        <f t="shared" si="1"/>
        <v/>
      </c>
      <c r="AG75" t="e">
        <f t="shared" si="21"/>
        <v>#N/A</v>
      </c>
      <c r="AH75" t="str">
        <f t="shared" si="22"/>
        <v/>
      </c>
      <c r="AI75" t="str">
        <f t="shared" si="23"/>
        <v>Step 3</v>
      </c>
      <c r="AJ75" t="str">
        <f t="shared" si="24"/>
        <v/>
      </c>
      <c r="AK75" t="str">
        <f t="shared" si="25"/>
        <v/>
      </c>
      <c r="AL75" t="str">
        <f t="shared" si="26"/>
        <v/>
      </c>
      <c r="AM75" t="str">
        <f t="shared" si="27"/>
        <v/>
      </c>
      <c r="AN75" t="str">
        <f t="shared" si="2"/>
        <v/>
      </c>
      <c r="AO75" t="str">
        <f t="shared" si="3"/>
        <v/>
      </c>
      <c r="AQ75" t="e">
        <f t="shared" si="4"/>
        <v>#N/A</v>
      </c>
      <c r="AR75" t="str">
        <f t="shared" si="5"/>
        <v/>
      </c>
      <c r="AS75" t="str">
        <f t="shared" si="6"/>
        <v/>
      </c>
      <c r="AT75" t="str">
        <f t="shared" si="7"/>
        <v>Step 4</v>
      </c>
      <c r="AU75" t="str">
        <f t="shared" si="8"/>
        <v/>
      </c>
      <c r="AV75" t="str">
        <f t="shared" si="9"/>
        <v/>
      </c>
      <c r="AW75" t="str">
        <f t="shared" si="10"/>
        <v/>
      </c>
      <c r="AX75" t="str">
        <f t="shared" si="11"/>
        <v/>
      </c>
      <c r="AY75" t="str">
        <f t="shared" si="12"/>
        <v/>
      </c>
    </row>
    <row r="76" spans="1:51" x14ac:dyDescent="0.3">
      <c r="A76" s="16" t="s">
        <v>128</v>
      </c>
      <c r="B76" s="16" t="s">
        <v>229</v>
      </c>
      <c r="C76" s="16" t="s">
        <v>229</v>
      </c>
      <c r="D76" s="16" t="s">
        <v>222</v>
      </c>
      <c r="W76" t="e">
        <f t="shared" si="13"/>
        <v>#N/A</v>
      </c>
      <c r="X76" t="str">
        <f t="shared" si="14"/>
        <v/>
      </c>
      <c r="Y76" t="str">
        <f t="shared" si="15"/>
        <v/>
      </c>
      <c r="Z76" t="str">
        <f t="shared" si="16"/>
        <v/>
      </c>
      <c r="AA76" t="str">
        <f t="shared" si="17"/>
        <v/>
      </c>
      <c r="AB76" t="str">
        <f t="shared" si="18"/>
        <v/>
      </c>
      <c r="AC76" t="str">
        <f t="shared" si="19"/>
        <v/>
      </c>
      <c r="AD76" t="str">
        <f t="shared" si="20"/>
        <v/>
      </c>
      <c r="AE76" t="str">
        <f t="shared" si="1"/>
        <v>Step 9</v>
      </c>
      <c r="AG76" t="e">
        <f t="shared" si="21"/>
        <v>#N/A</v>
      </c>
      <c r="AH76" t="str">
        <f t="shared" si="22"/>
        <v/>
      </c>
      <c r="AI76" t="str">
        <f t="shared" si="23"/>
        <v/>
      </c>
      <c r="AJ76" t="str">
        <f t="shared" si="24"/>
        <v/>
      </c>
      <c r="AK76" t="str">
        <f t="shared" si="25"/>
        <v/>
      </c>
      <c r="AL76" t="str">
        <f t="shared" si="26"/>
        <v/>
      </c>
      <c r="AM76" t="str">
        <f t="shared" si="27"/>
        <v/>
      </c>
      <c r="AN76" t="str">
        <f t="shared" si="2"/>
        <v/>
      </c>
      <c r="AO76" t="str">
        <f t="shared" si="3"/>
        <v>Step 9</v>
      </c>
      <c r="AQ76" t="e">
        <f t="shared" si="4"/>
        <v>#N/A</v>
      </c>
      <c r="AR76" t="str">
        <f t="shared" si="5"/>
        <v>Step 2</v>
      </c>
      <c r="AS76" t="str">
        <f t="shared" si="6"/>
        <v/>
      </c>
      <c r="AT76" t="str">
        <f t="shared" si="7"/>
        <v/>
      </c>
      <c r="AU76" t="str">
        <f t="shared" si="8"/>
        <v/>
      </c>
      <c r="AV76" t="str">
        <f t="shared" si="9"/>
        <v/>
      </c>
      <c r="AW76" t="str">
        <f t="shared" si="10"/>
        <v/>
      </c>
      <c r="AX76" t="str">
        <f t="shared" si="11"/>
        <v/>
      </c>
      <c r="AY76" t="str">
        <f t="shared" si="12"/>
        <v/>
      </c>
    </row>
    <row r="77" spans="1:51" x14ac:dyDescent="0.3">
      <c r="A77" s="16" t="s">
        <v>129</v>
      </c>
      <c r="B77" s="16" t="s">
        <v>225</v>
      </c>
      <c r="C77" s="16" t="s">
        <v>221</v>
      </c>
      <c r="D77" s="16" t="s">
        <v>221</v>
      </c>
      <c r="W77" t="e">
        <f t="shared" si="13"/>
        <v>#N/A</v>
      </c>
      <c r="X77" t="str">
        <f t="shared" si="14"/>
        <v/>
      </c>
      <c r="Y77" t="str">
        <f t="shared" si="15"/>
        <v/>
      </c>
      <c r="Z77" t="str">
        <f t="shared" si="16"/>
        <v/>
      </c>
      <c r="AA77" t="str">
        <f t="shared" si="17"/>
        <v>Step 5</v>
      </c>
      <c r="AB77" t="str">
        <f t="shared" si="18"/>
        <v/>
      </c>
      <c r="AC77" t="str">
        <f t="shared" si="19"/>
        <v/>
      </c>
      <c r="AD77" t="str">
        <f t="shared" si="20"/>
        <v/>
      </c>
      <c r="AE77" t="str">
        <f t="shared" si="1"/>
        <v/>
      </c>
      <c r="AG77" t="str">
        <f t="shared" si="21"/>
        <v>Step 1</v>
      </c>
      <c r="AH77" t="str">
        <f t="shared" si="22"/>
        <v/>
      </c>
      <c r="AI77" t="str">
        <f t="shared" si="23"/>
        <v/>
      </c>
      <c r="AJ77" t="str">
        <f t="shared" si="24"/>
        <v/>
      </c>
      <c r="AK77" t="str">
        <f t="shared" si="25"/>
        <v/>
      </c>
      <c r="AL77" t="str">
        <f t="shared" si="26"/>
        <v/>
      </c>
      <c r="AM77" t="str">
        <f t="shared" si="27"/>
        <v/>
      </c>
      <c r="AN77" t="str">
        <f t="shared" si="2"/>
        <v/>
      </c>
      <c r="AO77" t="str">
        <f t="shared" si="3"/>
        <v/>
      </c>
      <c r="AQ77" t="str">
        <f t="shared" si="4"/>
        <v>Step 1</v>
      </c>
      <c r="AR77" t="str">
        <f t="shared" si="5"/>
        <v/>
      </c>
      <c r="AS77" t="str">
        <f t="shared" si="6"/>
        <v/>
      </c>
      <c r="AT77" t="str">
        <f t="shared" si="7"/>
        <v/>
      </c>
      <c r="AU77" t="str">
        <f t="shared" si="8"/>
        <v/>
      </c>
      <c r="AV77" t="str">
        <f t="shared" si="9"/>
        <v/>
      </c>
      <c r="AW77" t="str">
        <f t="shared" si="10"/>
        <v/>
      </c>
      <c r="AX77" t="str">
        <f t="shared" si="11"/>
        <v/>
      </c>
      <c r="AY77" t="str">
        <f t="shared" si="12"/>
        <v/>
      </c>
    </row>
    <row r="78" spans="1:51" x14ac:dyDescent="0.3">
      <c r="A78" s="16" t="s">
        <v>130</v>
      </c>
      <c r="B78" s="16" t="s">
        <v>228</v>
      </c>
      <c r="C78" s="16" t="s">
        <v>223</v>
      </c>
      <c r="D78" s="16" t="s">
        <v>221</v>
      </c>
      <c r="W78" t="e">
        <f t="shared" si="13"/>
        <v>#N/A</v>
      </c>
      <c r="X78" t="str">
        <f t="shared" si="14"/>
        <v/>
      </c>
      <c r="Y78" t="str">
        <f t="shared" si="15"/>
        <v/>
      </c>
      <c r="Z78" t="str">
        <f t="shared" si="16"/>
        <v/>
      </c>
      <c r="AA78" t="str">
        <f t="shared" si="17"/>
        <v/>
      </c>
      <c r="AB78" t="str">
        <f t="shared" si="18"/>
        <v/>
      </c>
      <c r="AC78" t="str">
        <f t="shared" si="19"/>
        <v/>
      </c>
      <c r="AD78" t="str">
        <f t="shared" si="20"/>
        <v>Step 8</v>
      </c>
      <c r="AE78" t="str">
        <f t="shared" ref="AE78:AE129" si="29">IF(ISNUMBER(SEARCH($AE$11,B78)),$AE$11,"")</f>
        <v/>
      </c>
      <c r="AG78" t="e">
        <f t="shared" si="21"/>
        <v>#N/A</v>
      </c>
      <c r="AH78" t="str">
        <f t="shared" si="22"/>
        <v/>
      </c>
      <c r="AI78" t="str">
        <f t="shared" si="23"/>
        <v>Step 3</v>
      </c>
      <c r="AJ78" t="str">
        <f t="shared" si="24"/>
        <v/>
      </c>
      <c r="AK78" t="str">
        <f t="shared" si="25"/>
        <v/>
      </c>
      <c r="AL78" t="str">
        <f t="shared" si="26"/>
        <v/>
      </c>
      <c r="AM78" t="str">
        <f t="shared" si="27"/>
        <v/>
      </c>
      <c r="AN78" t="str">
        <f t="shared" ref="AN78:AN129" si="30">IF(ISNUMBER(SEARCH($AN$11,C78)),$AN$11,"")</f>
        <v/>
      </c>
      <c r="AO78" t="str">
        <f t="shared" ref="AO78:AO129" si="31">IF(ISNUMBER(SEARCH($AO$11,C78)),$AO$11,"")</f>
        <v/>
      </c>
      <c r="AQ78" t="str">
        <f t="shared" ref="AQ78:AQ129" si="32">IF(D78=$AQ$11,$AQ$11,#N/A)</f>
        <v>Step 1</v>
      </c>
      <c r="AR78" t="str">
        <f t="shared" ref="AR78:AR129" si="33">IF(ISNUMBER(SEARCH($AR$11,D78)),$AR$11,"")</f>
        <v/>
      </c>
      <c r="AS78" t="str">
        <f t="shared" ref="AS78:AS129" si="34">IF(ISNUMBER(SEARCH($AS$11,D78)),$AS$11,"")</f>
        <v/>
      </c>
      <c r="AT78" t="str">
        <f t="shared" ref="AT78:AT129" si="35">IF(ISNUMBER(SEARCH($AT$11,D78)),$AT$11,"")</f>
        <v/>
      </c>
      <c r="AU78" t="str">
        <f t="shared" ref="AU78:AU129" si="36">IF(ISNUMBER(SEARCH($AU$11,D78)),$AU$11,"")</f>
        <v/>
      </c>
      <c r="AV78" t="str">
        <f t="shared" ref="AV78:AV129" si="37">IF(ISNUMBER(SEARCH($AV$11,D78)),$AV$11,"")</f>
        <v/>
      </c>
      <c r="AW78" t="str">
        <f t="shared" ref="AW78:AW129" si="38">IF(ISNUMBER(SEARCH($AW$11,D78)),$AW$11,"")</f>
        <v/>
      </c>
      <c r="AX78" t="str">
        <f t="shared" ref="AX78:AX129" si="39">IF(ISNUMBER(SEARCH($AX$11,D78)),$AX$11,"")</f>
        <v/>
      </c>
      <c r="AY78" t="str">
        <f t="shared" ref="AY78:AY129" si="40">IF(ISNUMBER(SEARCH($AY$11,D78)),$AY$11,"")</f>
        <v/>
      </c>
    </row>
    <row r="79" spans="1:51" x14ac:dyDescent="0.3">
      <c r="A79" s="16" t="s">
        <v>131</v>
      </c>
      <c r="B79" s="16" t="s">
        <v>224</v>
      </c>
      <c r="C79" s="16" t="s">
        <v>227</v>
      </c>
      <c r="D79" s="16" t="s">
        <v>228</v>
      </c>
      <c r="W79" t="e">
        <f t="shared" ref="W79:W128" si="41">IF(B79=$W$11,$W$11,#N/A)</f>
        <v>#N/A</v>
      </c>
      <c r="X79" t="str">
        <f t="shared" ref="X79:X129" si="42">IF(ISNUMBER(SEARCH($X$11,B79)),$X$11,"")</f>
        <v/>
      </c>
      <c r="Y79" t="str">
        <f t="shared" ref="Y79:Y129" si="43">IF(ISNUMBER(SEARCH($Y$11,B79)),$Y$11,"")</f>
        <v/>
      </c>
      <c r="Z79" t="str">
        <f t="shared" ref="Z79:Z129" si="44">IF(ISNUMBER(SEARCH($Z$11,B79)),$Z$11,"")</f>
        <v>Step 4</v>
      </c>
      <c r="AA79" t="str">
        <f t="shared" ref="AA79:AA129" si="45">IF(ISNUMBER(SEARCH($AA$11,B79)),$AA$11,"")</f>
        <v/>
      </c>
      <c r="AB79" t="str">
        <f t="shared" ref="AB79:AB129" si="46">IF(ISNUMBER(SEARCH($AB$11,B79)),$AB$11,"")</f>
        <v/>
      </c>
      <c r="AC79" t="str">
        <f t="shared" ref="AC79:AC129" si="47">IF(ISNUMBER(SEARCH($AC$11,B79)),$AC$11,"")</f>
        <v/>
      </c>
      <c r="AD79" t="str">
        <f t="shared" ref="AD79:AD129" si="48">IF(ISNUMBER(SEARCH($AD$11,B79)),$AD$11,"")</f>
        <v/>
      </c>
      <c r="AE79" t="str">
        <f t="shared" si="29"/>
        <v/>
      </c>
      <c r="AG79" t="e">
        <f t="shared" ref="AG79:AG129" si="49">IF(C79=$AG$11,$AG$11,#N/A)</f>
        <v>#N/A</v>
      </c>
      <c r="AH79" t="str">
        <f t="shared" ref="AH79:AH129" si="50">IF(ISNUMBER(SEARCH($AH$11,C79)),$AH$11,"")</f>
        <v/>
      </c>
      <c r="AI79" t="str">
        <f t="shared" ref="AI79:AI129" si="51">IF(ISNUMBER(SEARCH($AI$11,C79)),$AI$11,"")</f>
        <v/>
      </c>
      <c r="AJ79" t="str">
        <f t="shared" ref="AJ79:AJ129" si="52">IF(ISNUMBER(SEARCH($AJ$11,C79)),$AJ$11,"")</f>
        <v/>
      </c>
      <c r="AK79" t="str">
        <f t="shared" ref="AK79:AK129" si="53">IF(ISNUMBER(SEARCH($AK$11,C79)),$AK$11,"")</f>
        <v/>
      </c>
      <c r="AL79" t="str">
        <f t="shared" ref="AL79:AL129" si="54">IF(ISNUMBER(SEARCH($AL$11,C79)),$AL$11,"")</f>
        <v/>
      </c>
      <c r="AM79" t="str">
        <f t="shared" ref="AM79:AM129" si="55">IF(ISNUMBER(SEARCH($AM$11,C79)),$AM$11,"")</f>
        <v>Step 7</v>
      </c>
      <c r="AN79" t="str">
        <f t="shared" si="30"/>
        <v/>
      </c>
      <c r="AO79" t="str">
        <f t="shared" si="31"/>
        <v/>
      </c>
      <c r="AQ79" t="e">
        <f t="shared" si="32"/>
        <v>#N/A</v>
      </c>
      <c r="AR79" t="str">
        <f t="shared" si="33"/>
        <v/>
      </c>
      <c r="AS79" t="str">
        <f t="shared" si="34"/>
        <v/>
      </c>
      <c r="AT79" t="str">
        <f t="shared" si="35"/>
        <v/>
      </c>
      <c r="AU79" t="str">
        <f t="shared" si="36"/>
        <v/>
      </c>
      <c r="AV79" t="str">
        <f t="shared" si="37"/>
        <v/>
      </c>
      <c r="AW79" t="str">
        <f t="shared" si="38"/>
        <v/>
      </c>
      <c r="AX79" t="str">
        <f t="shared" si="39"/>
        <v>Step 8</v>
      </c>
      <c r="AY79" t="str">
        <f t="shared" si="40"/>
        <v/>
      </c>
    </row>
    <row r="80" spans="1:51" x14ac:dyDescent="0.3">
      <c r="A80" s="16" t="s">
        <v>132</v>
      </c>
      <c r="B80" s="16" t="s">
        <v>221</v>
      </c>
      <c r="C80" s="16" t="s">
        <v>229</v>
      </c>
      <c r="D80" s="16" t="s">
        <v>229</v>
      </c>
      <c r="W80" t="str">
        <f t="shared" si="41"/>
        <v>Step 1</v>
      </c>
      <c r="X80" t="str">
        <f t="shared" si="42"/>
        <v/>
      </c>
      <c r="Y80" t="str">
        <f t="shared" si="43"/>
        <v/>
      </c>
      <c r="Z80" t="str">
        <f t="shared" si="44"/>
        <v/>
      </c>
      <c r="AA80" t="str">
        <f t="shared" si="45"/>
        <v/>
      </c>
      <c r="AB80" t="str">
        <f t="shared" si="46"/>
        <v/>
      </c>
      <c r="AC80" t="str">
        <f t="shared" si="47"/>
        <v/>
      </c>
      <c r="AD80" t="str">
        <f t="shared" si="48"/>
        <v/>
      </c>
      <c r="AE80" t="str">
        <f t="shared" si="29"/>
        <v/>
      </c>
      <c r="AG80" t="e">
        <f t="shared" si="49"/>
        <v>#N/A</v>
      </c>
      <c r="AH80" t="str">
        <f t="shared" si="50"/>
        <v/>
      </c>
      <c r="AI80" t="str">
        <f t="shared" si="51"/>
        <v/>
      </c>
      <c r="AJ80" t="str">
        <f t="shared" si="52"/>
        <v/>
      </c>
      <c r="AK80" t="str">
        <f t="shared" si="53"/>
        <v/>
      </c>
      <c r="AL80" t="str">
        <f t="shared" si="54"/>
        <v/>
      </c>
      <c r="AM80" t="str">
        <f t="shared" si="55"/>
        <v/>
      </c>
      <c r="AN80" t="str">
        <f t="shared" si="30"/>
        <v/>
      </c>
      <c r="AO80" t="str">
        <f t="shared" si="31"/>
        <v>Step 9</v>
      </c>
      <c r="AQ80" t="e">
        <f t="shared" si="32"/>
        <v>#N/A</v>
      </c>
      <c r="AR80" t="str">
        <f t="shared" si="33"/>
        <v/>
      </c>
      <c r="AS80" t="str">
        <f t="shared" si="34"/>
        <v/>
      </c>
      <c r="AT80" t="str">
        <f t="shared" si="35"/>
        <v/>
      </c>
      <c r="AU80" t="str">
        <f t="shared" si="36"/>
        <v/>
      </c>
      <c r="AV80" t="str">
        <f t="shared" si="37"/>
        <v/>
      </c>
      <c r="AW80" t="str">
        <f t="shared" si="38"/>
        <v/>
      </c>
      <c r="AX80" t="str">
        <f t="shared" si="39"/>
        <v/>
      </c>
      <c r="AY80" t="str">
        <f t="shared" si="40"/>
        <v>Step 9</v>
      </c>
    </row>
    <row r="81" spans="1:51" x14ac:dyDescent="0.3">
      <c r="A81" s="16" t="s">
        <v>133</v>
      </c>
      <c r="B81" s="16" t="s">
        <v>225</v>
      </c>
      <c r="C81" s="16" t="s">
        <v>223</v>
      </c>
      <c r="D81" s="16" t="s">
        <v>227</v>
      </c>
      <c r="W81" t="e">
        <f t="shared" si="41"/>
        <v>#N/A</v>
      </c>
      <c r="X81" t="str">
        <f t="shared" si="42"/>
        <v/>
      </c>
      <c r="Y81" t="str">
        <f t="shared" si="43"/>
        <v/>
      </c>
      <c r="Z81" t="str">
        <f t="shared" si="44"/>
        <v/>
      </c>
      <c r="AA81" t="str">
        <f t="shared" si="45"/>
        <v>Step 5</v>
      </c>
      <c r="AB81" t="str">
        <f t="shared" si="46"/>
        <v/>
      </c>
      <c r="AC81" t="str">
        <f t="shared" si="47"/>
        <v/>
      </c>
      <c r="AD81" t="str">
        <f t="shared" si="48"/>
        <v/>
      </c>
      <c r="AE81" t="str">
        <f t="shared" si="29"/>
        <v/>
      </c>
      <c r="AG81" t="e">
        <f t="shared" si="49"/>
        <v>#N/A</v>
      </c>
      <c r="AH81" t="str">
        <f t="shared" si="50"/>
        <v/>
      </c>
      <c r="AI81" t="str">
        <f t="shared" si="51"/>
        <v>Step 3</v>
      </c>
      <c r="AJ81" t="str">
        <f t="shared" si="52"/>
        <v/>
      </c>
      <c r="AK81" t="str">
        <f t="shared" si="53"/>
        <v/>
      </c>
      <c r="AL81" t="str">
        <f t="shared" si="54"/>
        <v/>
      </c>
      <c r="AM81" t="str">
        <f t="shared" si="55"/>
        <v/>
      </c>
      <c r="AN81" t="str">
        <f t="shared" si="30"/>
        <v/>
      </c>
      <c r="AO81" t="str">
        <f t="shared" si="31"/>
        <v/>
      </c>
      <c r="AQ81" t="e">
        <f t="shared" si="32"/>
        <v>#N/A</v>
      </c>
      <c r="AR81" t="str">
        <f t="shared" si="33"/>
        <v/>
      </c>
      <c r="AS81" t="str">
        <f t="shared" si="34"/>
        <v/>
      </c>
      <c r="AT81" t="str">
        <f t="shared" si="35"/>
        <v/>
      </c>
      <c r="AU81" t="str">
        <f t="shared" si="36"/>
        <v/>
      </c>
      <c r="AV81" t="str">
        <f t="shared" si="37"/>
        <v/>
      </c>
      <c r="AW81" t="str">
        <f t="shared" si="38"/>
        <v>Step 7</v>
      </c>
      <c r="AX81" t="str">
        <f t="shared" si="39"/>
        <v/>
      </c>
      <c r="AY81" t="str">
        <f t="shared" si="40"/>
        <v/>
      </c>
    </row>
    <row r="82" spans="1:51" x14ac:dyDescent="0.3">
      <c r="A82" s="16" t="s">
        <v>134</v>
      </c>
      <c r="B82" s="16" t="s">
        <v>225</v>
      </c>
      <c r="C82" s="16" t="s">
        <v>221</v>
      </c>
      <c r="D82" s="16" t="s">
        <v>227</v>
      </c>
      <c r="W82" t="e">
        <f t="shared" si="41"/>
        <v>#N/A</v>
      </c>
      <c r="X82" t="str">
        <f t="shared" si="42"/>
        <v/>
      </c>
      <c r="Y82" t="str">
        <f t="shared" si="43"/>
        <v/>
      </c>
      <c r="Z82" t="str">
        <f t="shared" si="44"/>
        <v/>
      </c>
      <c r="AA82" t="str">
        <f t="shared" si="45"/>
        <v>Step 5</v>
      </c>
      <c r="AB82" t="str">
        <f t="shared" si="46"/>
        <v/>
      </c>
      <c r="AC82" t="str">
        <f t="shared" si="47"/>
        <v/>
      </c>
      <c r="AD82" t="str">
        <f t="shared" si="48"/>
        <v/>
      </c>
      <c r="AE82" t="str">
        <f t="shared" si="29"/>
        <v/>
      </c>
      <c r="AG82" t="str">
        <f t="shared" si="49"/>
        <v>Step 1</v>
      </c>
      <c r="AH82" t="str">
        <f t="shared" si="50"/>
        <v/>
      </c>
      <c r="AI82" t="str">
        <f t="shared" si="51"/>
        <v/>
      </c>
      <c r="AJ82" t="str">
        <f t="shared" si="52"/>
        <v/>
      </c>
      <c r="AK82" t="str">
        <f t="shared" si="53"/>
        <v/>
      </c>
      <c r="AL82" t="str">
        <f t="shared" si="54"/>
        <v/>
      </c>
      <c r="AM82" t="str">
        <f t="shared" si="55"/>
        <v/>
      </c>
      <c r="AN82" t="str">
        <f t="shared" si="30"/>
        <v/>
      </c>
      <c r="AO82" t="str">
        <f t="shared" si="31"/>
        <v/>
      </c>
      <c r="AQ82" t="e">
        <f t="shared" si="32"/>
        <v>#N/A</v>
      </c>
      <c r="AR82" t="str">
        <f t="shared" si="33"/>
        <v/>
      </c>
      <c r="AS82" t="str">
        <f t="shared" si="34"/>
        <v/>
      </c>
      <c r="AT82" t="str">
        <f t="shared" si="35"/>
        <v/>
      </c>
      <c r="AU82" t="str">
        <f t="shared" si="36"/>
        <v/>
      </c>
      <c r="AV82" t="str">
        <f t="shared" si="37"/>
        <v/>
      </c>
      <c r="AW82" t="str">
        <f t="shared" si="38"/>
        <v>Step 7</v>
      </c>
      <c r="AX82" t="str">
        <f t="shared" si="39"/>
        <v/>
      </c>
      <c r="AY82" t="str">
        <f t="shared" si="40"/>
        <v/>
      </c>
    </row>
    <row r="83" spans="1:51" x14ac:dyDescent="0.3">
      <c r="A83" s="16" t="s">
        <v>135</v>
      </c>
      <c r="B83" s="16" t="s">
        <v>229</v>
      </c>
      <c r="C83" s="16" t="s">
        <v>226</v>
      </c>
      <c r="D83" s="16" t="s">
        <v>229</v>
      </c>
      <c r="W83" t="e">
        <f t="shared" si="41"/>
        <v>#N/A</v>
      </c>
      <c r="X83" t="str">
        <f t="shared" si="42"/>
        <v/>
      </c>
      <c r="Y83" t="str">
        <f t="shared" si="43"/>
        <v/>
      </c>
      <c r="Z83" t="str">
        <f t="shared" si="44"/>
        <v/>
      </c>
      <c r="AA83" t="str">
        <f t="shared" si="45"/>
        <v/>
      </c>
      <c r="AB83" t="str">
        <f t="shared" si="46"/>
        <v/>
      </c>
      <c r="AC83" t="str">
        <f t="shared" si="47"/>
        <v/>
      </c>
      <c r="AD83" t="str">
        <f t="shared" si="48"/>
        <v/>
      </c>
      <c r="AE83" t="str">
        <f t="shared" si="29"/>
        <v>Step 9</v>
      </c>
      <c r="AG83" t="e">
        <f t="shared" si="49"/>
        <v>#N/A</v>
      </c>
      <c r="AH83" t="str">
        <f t="shared" si="50"/>
        <v/>
      </c>
      <c r="AI83" t="str">
        <f t="shared" si="51"/>
        <v/>
      </c>
      <c r="AJ83" t="str">
        <f t="shared" si="52"/>
        <v/>
      </c>
      <c r="AK83" t="str">
        <f t="shared" si="53"/>
        <v/>
      </c>
      <c r="AL83" t="str">
        <f t="shared" si="54"/>
        <v>Step 6</v>
      </c>
      <c r="AM83" t="str">
        <f t="shared" si="55"/>
        <v/>
      </c>
      <c r="AN83" t="str">
        <f t="shared" si="30"/>
        <v/>
      </c>
      <c r="AO83" t="str">
        <f t="shared" si="31"/>
        <v/>
      </c>
      <c r="AQ83" t="e">
        <f t="shared" si="32"/>
        <v>#N/A</v>
      </c>
      <c r="AR83" t="str">
        <f t="shared" si="33"/>
        <v/>
      </c>
      <c r="AS83" t="str">
        <f t="shared" si="34"/>
        <v/>
      </c>
      <c r="AT83" t="str">
        <f t="shared" si="35"/>
        <v/>
      </c>
      <c r="AU83" t="str">
        <f t="shared" si="36"/>
        <v/>
      </c>
      <c r="AV83" t="str">
        <f t="shared" si="37"/>
        <v/>
      </c>
      <c r="AW83" t="str">
        <f t="shared" si="38"/>
        <v/>
      </c>
      <c r="AX83" t="str">
        <f t="shared" si="39"/>
        <v/>
      </c>
      <c r="AY83" t="str">
        <f t="shared" si="40"/>
        <v>Step 9</v>
      </c>
    </row>
    <row r="84" spans="1:51" x14ac:dyDescent="0.3">
      <c r="A84" s="16" t="s">
        <v>136</v>
      </c>
      <c r="B84" s="16" t="s">
        <v>229</v>
      </c>
      <c r="C84" s="16" t="s">
        <v>228</v>
      </c>
      <c r="D84" s="16" t="s">
        <v>221</v>
      </c>
      <c r="W84" t="e">
        <f t="shared" si="41"/>
        <v>#N/A</v>
      </c>
      <c r="X84" t="str">
        <f t="shared" si="42"/>
        <v/>
      </c>
      <c r="Y84" t="str">
        <f t="shared" si="43"/>
        <v/>
      </c>
      <c r="Z84" t="str">
        <f t="shared" si="44"/>
        <v/>
      </c>
      <c r="AA84" t="str">
        <f t="shared" si="45"/>
        <v/>
      </c>
      <c r="AB84" t="str">
        <f t="shared" si="46"/>
        <v/>
      </c>
      <c r="AC84" t="str">
        <f t="shared" si="47"/>
        <v/>
      </c>
      <c r="AD84" t="str">
        <f t="shared" si="48"/>
        <v/>
      </c>
      <c r="AE84" t="str">
        <f t="shared" si="29"/>
        <v>Step 9</v>
      </c>
      <c r="AG84" t="e">
        <f t="shared" si="49"/>
        <v>#N/A</v>
      </c>
      <c r="AH84" t="str">
        <f t="shared" si="50"/>
        <v/>
      </c>
      <c r="AI84" t="str">
        <f t="shared" si="51"/>
        <v/>
      </c>
      <c r="AJ84" t="str">
        <f t="shared" si="52"/>
        <v/>
      </c>
      <c r="AK84" t="str">
        <f t="shared" si="53"/>
        <v/>
      </c>
      <c r="AL84" t="str">
        <f t="shared" si="54"/>
        <v/>
      </c>
      <c r="AM84" t="str">
        <f t="shared" si="55"/>
        <v/>
      </c>
      <c r="AN84" t="str">
        <f t="shared" si="30"/>
        <v>Step 8</v>
      </c>
      <c r="AO84" t="str">
        <f t="shared" si="31"/>
        <v/>
      </c>
      <c r="AQ84" t="str">
        <f t="shared" si="32"/>
        <v>Step 1</v>
      </c>
      <c r="AR84" t="str">
        <f t="shared" si="33"/>
        <v/>
      </c>
      <c r="AS84" t="str">
        <f t="shared" si="34"/>
        <v/>
      </c>
      <c r="AT84" t="str">
        <f t="shared" si="35"/>
        <v/>
      </c>
      <c r="AU84" t="str">
        <f t="shared" si="36"/>
        <v/>
      </c>
      <c r="AV84" t="str">
        <f t="shared" si="37"/>
        <v/>
      </c>
      <c r="AW84" t="str">
        <f t="shared" si="38"/>
        <v/>
      </c>
      <c r="AX84" t="str">
        <f t="shared" si="39"/>
        <v/>
      </c>
      <c r="AY84" t="str">
        <f t="shared" si="40"/>
        <v/>
      </c>
    </row>
    <row r="85" spans="1:51" x14ac:dyDescent="0.3">
      <c r="A85" s="16" t="s">
        <v>137</v>
      </c>
      <c r="B85" s="16" t="s">
        <v>223</v>
      </c>
      <c r="C85" s="16" t="s">
        <v>227</v>
      </c>
      <c r="D85" s="16" t="s">
        <v>227</v>
      </c>
      <c r="W85" t="e">
        <f t="shared" si="41"/>
        <v>#N/A</v>
      </c>
      <c r="X85" t="str">
        <f t="shared" si="42"/>
        <v/>
      </c>
      <c r="Y85" t="str">
        <f t="shared" si="43"/>
        <v>Step 3</v>
      </c>
      <c r="Z85" t="str">
        <f t="shared" si="44"/>
        <v/>
      </c>
      <c r="AA85" t="str">
        <f t="shared" si="45"/>
        <v/>
      </c>
      <c r="AB85" t="str">
        <f t="shared" si="46"/>
        <v/>
      </c>
      <c r="AC85" t="str">
        <f t="shared" si="47"/>
        <v/>
      </c>
      <c r="AD85" t="str">
        <f t="shared" si="48"/>
        <v/>
      </c>
      <c r="AE85" t="str">
        <f t="shared" si="29"/>
        <v/>
      </c>
      <c r="AG85" t="e">
        <f t="shared" si="49"/>
        <v>#N/A</v>
      </c>
      <c r="AH85" t="str">
        <f t="shared" si="50"/>
        <v/>
      </c>
      <c r="AI85" t="str">
        <f t="shared" si="51"/>
        <v/>
      </c>
      <c r="AJ85" t="str">
        <f t="shared" si="52"/>
        <v/>
      </c>
      <c r="AK85" t="str">
        <f t="shared" si="53"/>
        <v/>
      </c>
      <c r="AL85" t="str">
        <f t="shared" si="54"/>
        <v/>
      </c>
      <c r="AM85" t="str">
        <f t="shared" si="55"/>
        <v>Step 7</v>
      </c>
      <c r="AN85" t="str">
        <f t="shared" si="30"/>
        <v/>
      </c>
      <c r="AO85" t="str">
        <f t="shared" si="31"/>
        <v/>
      </c>
      <c r="AQ85" t="e">
        <f t="shared" si="32"/>
        <v>#N/A</v>
      </c>
      <c r="AR85" t="str">
        <f t="shared" si="33"/>
        <v/>
      </c>
      <c r="AS85" t="str">
        <f t="shared" si="34"/>
        <v/>
      </c>
      <c r="AT85" t="str">
        <f t="shared" si="35"/>
        <v/>
      </c>
      <c r="AU85" t="str">
        <f t="shared" si="36"/>
        <v/>
      </c>
      <c r="AV85" t="str">
        <f t="shared" si="37"/>
        <v/>
      </c>
      <c r="AW85" t="str">
        <f t="shared" si="38"/>
        <v>Step 7</v>
      </c>
      <c r="AX85" t="str">
        <f t="shared" si="39"/>
        <v/>
      </c>
      <c r="AY85" t="str">
        <f t="shared" si="40"/>
        <v/>
      </c>
    </row>
    <row r="86" spans="1:51" x14ac:dyDescent="0.3">
      <c r="A86" s="16" t="s">
        <v>138</v>
      </c>
      <c r="B86" s="16" t="s">
        <v>221</v>
      </c>
      <c r="C86" s="16" t="s">
        <v>221</v>
      </c>
      <c r="D86" s="16" t="s">
        <v>224</v>
      </c>
      <c r="W86" t="str">
        <f t="shared" si="41"/>
        <v>Step 1</v>
      </c>
      <c r="X86" t="str">
        <f t="shared" si="42"/>
        <v/>
      </c>
      <c r="Y86" t="str">
        <f t="shared" si="43"/>
        <v/>
      </c>
      <c r="Z86" t="str">
        <f t="shared" si="44"/>
        <v/>
      </c>
      <c r="AA86" t="str">
        <f t="shared" si="45"/>
        <v/>
      </c>
      <c r="AB86" t="str">
        <f t="shared" si="46"/>
        <v/>
      </c>
      <c r="AC86" t="str">
        <f t="shared" si="47"/>
        <v/>
      </c>
      <c r="AD86" t="str">
        <f t="shared" si="48"/>
        <v/>
      </c>
      <c r="AE86" t="str">
        <f t="shared" si="29"/>
        <v/>
      </c>
      <c r="AG86" t="str">
        <f t="shared" si="49"/>
        <v>Step 1</v>
      </c>
      <c r="AH86" t="str">
        <f t="shared" si="50"/>
        <v/>
      </c>
      <c r="AI86" t="str">
        <f t="shared" si="51"/>
        <v/>
      </c>
      <c r="AJ86" t="str">
        <f t="shared" si="52"/>
        <v/>
      </c>
      <c r="AK86" t="str">
        <f t="shared" si="53"/>
        <v/>
      </c>
      <c r="AL86" t="str">
        <f t="shared" si="54"/>
        <v/>
      </c>
      <c r="AM86" t="str">
        <f t="shared" si="55"/>
        <v/>
      </c>
      <c r="AN86" t="str">
        <f t="shared" si="30"/>
        <v/>
      </c>
      <c r="AO86" t="str">
        <f t="shared" si="31"/>
        <v/>
      </c>
      <c r="AQ86" t="e">
        <f t="shared" si="32"/>
        <v>#N/A</v>
      </c>
      <c r="AR86" t="str">
        <f t="shared" si="33"/>
        <v/>
      </c>
      <c r="AS86" t="str">
        <f t="shared" si="34"/>
        <v/>
      </c>
      <c r="AT86" t="str">
        <f t="shared" si="35"/>
        <v>Step 4</v>
      </c>
      <c r="AU86" t="str">
        <f t="shared" si="36"/>
        <v/>
      </c>
      <c r="AV86" t="str">
        <f t="shared" si="37"/>
        <v/>
      </c>
      <c r="AW86" t="str">
        <f t="shared" si="38"/>
        <v/>
      </c>
      <c r="AX86" t="str">
        <f t="shared" si="39"/>
        <v/>
      </c>
      <c r="AY86" t="str">
        <f t="shared" si="40"/>
        <v/>
      </c>
    </row>
    <row r="87" spans="1:51" x14ac:dyDescent="0.3">
      <c r="A87" s="16" t="s">
        <v>139</v>
      </c>
      <c r="B87" s="16" t="s">
        <v>226</v>
      </c>
      <c r="C87" s="16" t="s">
        <v>221</v>
      </c>
      <c r="D87" s="16" t="s">
        <v>227</v>
      </c>
      <c r="W87" t="e">
        <f t="shared" si="41"/>
        <v>#N/A</v>
      </c>
      <c r="X87" t="str">
        <f t="shared" si="42"/>
        <v/>
      </c>
      <c r="Y87" t="str">
        <f t="shared" si="43"/>
        <v/>
      </c>
      <c r="Z87" t="str">
        <f t="shared" si="44"/>
        <v/>
      </c>
      <c r="AA87" t="str">
        <f t="shared" si="45"/>
        <v/>
      </c>
      <c r="AB87" t="str">
        <f t="shared" si="46"/>
        <v>Step 6</v>
      </c>
      <c r="AC87" t="str">
        <f t="shared" si="47"/>
        <v/>
      </c>
      <c r="AD87" t="str">
        <f t="shared" si="48"/>
        <v/>
      </c>
      <c r="AE87" t="str">
        <f t="shared" si="29"/>
        <v/>
      </c>
      <c r="AG87" t="str">
        <f t="shared" si="49"/>
        <v>Step 1</v>
      </c>
      <c r="AH87" t="str">
        <f t="shared" si="50"/>
        <v/>
      </c>
      <c r="AI87" t="str">
        <f t="shared" si="51"/>
        <v/>
      </c>
      <c r="AJ87" t="str">
        <f t="shared" si="52"/>
        <v/>
      </c>
      <c r="AK87" t="str">
        <f t="shared" si="53"/>
        <v/>
      </c>
      <c r="AL87" t="str">
        <f t="shared" si="54"/>
        <v/>
      </c>
      <c r="AM87" t="str">
        <f t="shared" si="55"/>
        <v/>
      </c>
      <c r="AN87" t="str">
        <f t="shared" si="30"/>
        <v/>
      </c>
      <c r="AO87" t="str">
        <f t="shared" si="31"/>
        <v/>
      </c>
      <c r="AQ87" t="e">
        <f t="shared" si="32"/>
        <v>#N/A</v>
      </c>
      <c r="AR87" t="str">
        <f t="shared" si="33"/>
        <v/>
      </c>
      <c r="AS87" t="str">
        <f t="shared" si="34"/>
        <v/>
      </c>
      <c r="AT87" t="str">
        <f t="shared" si="35"/>
        <v/>
      </c>
      <c r="AU87" t="str">
        <f t="shared" si="36"/>
        <v/>
      </c>
      <c r="AV87" t="str">
        <f t="shared" si="37"/>
        <v/>
      </c>
      <c r="AW87" t="str">
        <f t="shared" si="38"/>
        <v>Step 7</v>
      </c>
      <c r="AX87" t="str">
        <f t="shared" si="39"/>
        <v/>
      </c>
      <c r="AY87" t="str">
        <f t="shared" si="40"/>
        <v/>
      </c>
    </row>
    <row r="88" spans="1:51" x14ac:dyDescent="0.3">
      <c r="A88" s="16" t="s">
        <v>140</v>
      </c>
      <c r="B88" s="16" t="s">
        <v>223</v>
      </c>
      <c r="C88" s="16" t="s">
        <v>226</v>
      </c>
      <c r="D88" s="16" t="s">
        <v>229</v>
      </c>
      <c r="W88" t="e">
        <f t="shared" si="41"/>
        <v>#N/A</v>
      </c>
      <c r="X88" t="str">
        <f t="shared" si="42"/>
        <v/>
      </c>
      <c r="Y88" t="str">
        <f t="shared" si="43"/>
        <v>Step 3</v>
      </c>
      <c r="Z88" t="str">
        <f t="shared" si="44"/>
        <v/>
      </c>
      <c r="AA88" t="str">
        <f t="shared" si="45"/>
        <v/>
      </c>
      <c r="AB88" t="str">
        <f t="shared" si="46"/>
        <v/>
      </c>
      <c r="AC88" t="str">
        <f t="shared" si="47"/>
        <v/>
      </c>
      <c r="AD88" t="str">
        <f t="shared" si="48"/>
        <v/>
      </c>
      <c r="AE88" t="str">
        <f t="shared" si="29"/>
        <v/>
      </c>
      <c r="AG88" t="e">
        <f t="shared" si="49"/>
        <v>#N/A</v>
      </c>
      <c r="AH88" t="str">
        <f t="shared" si="50"/>
        <v/>
      </c>
      <c r="AI88" t="str">
        <f t="shared" si="51"/>
        <v/>
      </c>
      <c r="AJ88" t="str">
        <f t="shared" si="52"/>
        <v/>
      </c>
      <c r="AK88" t="str">
        <f t="shared" si="53"/>
        <v/>
      </c>
      <c r="AL88" t="str">
        <f t="shared" si="54"/>
        <v>Step 6</v>
      </c>
      <c r="AM88" t="str">
        <f t="shared" si="55"/>
        <v/>
      </c>
      <c r="AN88" t="str">
        <f t="shared" si="30"/>
        <v/>
      </c>
      <c r="AO88" t="str">
        <f t="shared" si="31"/>
        <v/>
      </c>
      <c r="AQ88" t="e">
        <f t="shared" si="32"/>
        <v>#N/A</v>
      </c>
      <c r="AR88" t="str">
        <f t="shared" si="33"/>
        <v/>
      </c>
      <c r="AS88" t="str">
        <f t="shared" si="34"/>
        <v/>
      </c>
      <c r="AT88" t="str">
        <f t="shared" si="35"/>
        <v/>
      </c>
      <c r="AU88" t="str">
        <f t="shared" si="36"/>
        <v/>
      </c>
      <c r="AV88" t="str">
        <f t="shared" si="37"/>
        <v/>
      </c>
      <c r="AW88" t="str">
        <f t="shared" si="38"/>
        <v/>
      </c>
      <c r="AX88" t="str">
        <f t="shared" si="39"/>
        <v/>
      </c>
      <c r="AY88" t="str">
        <f t="shared" si="40"/>
        <v>Step 9</v>
      </c>
    </row>
    <row r="89" spans="1:51" x14ac:dyDescent="0.3">
      <c r="A89" s="16" t="s">
        <v>141</v>
      </c>
      <c r="B89" s="16" t="s">
        <v>228</v>
      </c>
      <c r="C89" s="16" t="s">
        <v>224</v>
      </c>
      <c r="D89" s="16" t="s">
        <v>228</v>
      </c>
      <c r="W89" t="e">
        <f t="shared" si="41"/>
        <v>#N/A</v>
      </c>
      <c r="X89" t="str">
        <f t="shared" si="42"/>
        <v/>
      </c>
      <c r="Y89" t="str">
        <f t="shared" si="43"/>
        <v/>
      </c>
      <c r="Z89" t="str">
        <f t="shared" si="44"/>
        <v/>
      </c>
      <c r="AA89" t="str">
        <f t="shared" si="45"/>
        <v/>
      </c>
      <c r="AB89" t="str">
        <f t="shared" si="46"/>
        <v/>
      </c>
      <c r="AC89" t="str">
        <f t="shared" si="47"/>
        <v/>
      </c>
      <c r="AD89" t="str">
        <f t="shared" si="48"/>
        <v>Step 8</v>
      </c>
      <c r="AE89" t="str">
        <f t="shared" si="29"/>
        <v/>
      </c>
      <c r="AG89" t="e">
        <f t="shared" si="49"/>
        <v>#N/A</v>
      </c>
      <c r="AH89" t="str">
        <f t="shared" si="50"/>
        <v/>
      </c>
      <c r="AI89" t="str">
        <f t="shared" si="51"/>
        <v/>
      </c>
      <c r="AJ89" t="str">
        <f t="shared" si="52"/>
        <v>Step 4</v>
      </c>
      <c r="AK89" t="str">
        <f t="shared" si="53"/>
        <v/>
      </c>
      <c r="AL89" t="str">
        <f t="shared" si="54"/>
        <v/>
      </c>
      <c r="AM89" t="str">
        <f t="shared" si="55"/>
        <v/>
      </c>
      <c r="AN89" t="str">
        <f t="shared" si="30"/>
        <v/>
      </c>
      <c r="AO89" t="str">
        <f t="shared" si="31"/>
        <v/>
      </c>
      <c r="AQ89" t="e">
        <f t="shared" si="32"/>
        <v>#N/A</v>
      </c>
      <c r="AR89" t="str">
        <f t="shared" si="33"/>
        <v/>
      </c>
      <c r="AS89" t="str">
        <f t="shared" si="34"/>
        <v/>
      </c>
      <c r="AT89" t="str">
        <f t="shared" si="35"/>
        <v/>
      </c>
      <c r="AU89" t="str">
        <f t="shared" si="36"/>
        <v/>
      </c>
      <c r="AV89" t="str">
        <f t="shared" si="37"/>
        <v/>
      </c>
      <c r="AW89" t="str">
        <f t="shared" si="38"/>
        <v/>
      </c>
      <c r="AX89" t="str">
        <f t="shared" si="39"/>
        <v>Step 8</v>
      </c>
      <c r="AY89" t="str">
        <f t="shared" si="40"/>
        <v/>
      </c>
    </row>
    <row r="90" spans="1:51" x14ac:dyDescent="0.3">
      <c r="A90" s="16" t="s">
        <v>142</v>
      </c>
      <c r="B90" s="16" t="s">
        <v>229</v>
      </c>
      <c r="C90" s="16" t="s">
        <v>228</v>
      </c>
      <c r="D90" s="16" t="s">
        <v>224</v>
      </c>
      <c r="W90" t="e">
        <f t="shared" si="41"/>
        <v>#N/A</v>
      </c>
      <c r="X90" t="str">
        <f t="shared" si="42"/>
        <v/>
      </c>
      <c r="Y90" t="str">
        <f t="shared" si="43"/>
        <v/>
      </c>
      <c r="Z90" t="str">
        <f t="shared" si="44"/>
        <v/>
      </c>
      <c r="AA90" t="str">
        <f t="shared" si="45"/>
        <v/>
      </c>
      <c r="AB90" t="str">
        <f t="shared" si="46"/>
        <v/>
      </c>
      <c r="AC90" t="str">
        <f t="shared" si="47"/>
        <v/>
      </c>
      <c r="AD90" t="str">
        <f t="shared" si="48"/>
        <v/>
      </c>
      <c r="AE90" t="str">
        <f t="shared" si="29"/>
        <v>Step 9</v>
      </c>
      <c r="AG90" t="e">
        <f t="shared" si="49"/>
        <v>#N/A</v>
      </c>
      <c r="AH90" t="str">
        <f t="shared" si="50"/>
        <v/>
      </c>
      <c r="AI90" t="str">
        <f t="shared" si="51"/>
        <v/>
      </c>
      <c r="AJ90" t="str">
        <f t="shared" si="52"/>
        <v/>
      </c>
      <c r="AK90" t="str">
        <f t="shared" si="53"/>
        <v/>
      </c>
      <c r="AL90" t="str">
        <f t="shared" si="54"/>
        <v/>
      </c>
      <c r="AM90" t="str">
        <f t="shared" si="55"/>
        <v/>
      </c>
      <c r="AN90" t="str">
        <f t="shared" si="30"/>
        <v>Step 8</v>
      </c>
      <c r="AO90" t="str">
        <f t="shared" si="31"/>
        <v/>
      </c>
      <c r="AQ90" t="e">
        <f t="shared" si="32"/>
        <v>#N/A</v>
      </c>
      <c r="AR90" t="str">
        <f t="shared" si="33"/>
        <v/>
      </c>
      <c r="AS90" t="str">
        <f t="shared" si="34"/>
        <v/>
      </c>
      <c r="AT90" t="str">
        <f t="shared" si="35"/>
        <v>Step 4</v>
      </c>
      <c r="AU90" t="str">
        <f t="shared" si="36"/>
        <v/>
      </c>
      <c r="AV90" t="str">
        <f t="shared" si="37"/>
        <v/>
      </c>
      <c r="AW90" t="str">
        <f t="shared" si="38"/>
        <v/>
      </c>
      <c r="AX90" t="str">
        <f t="shared" si="39"/>
        <v/>
      </c>
      <c r="AY90" t="str">
        <f t="shared" si="40"/>
        <v/>
      </c>
    </row>
    <row r="91" spans="1:51" x14ac:dyDescent="0.3">
      <c r="A91" s="16" t="s">
        <v>143</v>
      </c>
      <c r="B91" s="16" t="s">
        <v>229</v>
      </c>
      <c r="C91" s="16" t="s">
        <v>229</v>
      </c>
      <c r="D91" s="16" t="s">
        <v>222</v>
      </c>
      <c r="W91" t="e">
        <f t="shared" si="41"/>
        <v>#N/A</v>
      </c>
      <c r="X91" t="str">
        <f t="shared" si="42"/>
        <v/>
      </c>
      <c r="Y91" t="str">
        <f t="shared" si="43"/>
        <v/>
      </c>
      <c r="Z91" t="str">
        <f t="shared" si="44"/>
        <v/>
      </c>
      <c r="AA91" t="str">
        <f t="shared" si="45"/>
        <v/>
      </c>
      <c r="AB91" t="str">
        <f t="shared" si="46"/>
        <v/>
      </c>
      <c r="AC91" t="str">
        <f t="shared" si="47"/>
        <v/>
      </c>
      <c r="AD91" t="str">
        <f t="shared" si="48"/>
        <v/>
      </c>
      <c r="AE91" t="str">
        <f t="shared" si="29"/>
        <v>Step 9</v>
      </c>
      <c r="AG91" t="e">
        <f t="shared" si="49"/>
        <v>#N/A</v>
      </c>
      <c r="AH91" t="str">
        <f t="shared" si="50"/>
        <v/>
      </c>
      <c r="AI91" t="str">
        <f t="shared" si="51"/>
        <v/>
      </c>
      <c r="AJ91" t="str">
        <f t="shared" si="52"/>
        <v/>
      </c>
      <c r="AK91" t="str">
        <f t="shared" si="53"/>
        <v/>
      </c>
      <c r="AL91" t="str">
        <f t="shared" si="54"/>
        <v/>
      </c>
      <c r="AM91" t="str">
        <f t="shared" si="55"/>
        <v/>
      </c>
      <c r="AN91" t="str">
        <f t="shared" si="30"/>
        <v/>
      </c>
      <c r="AO91" t="str">
        <f t="shared" si="31"/>
        <v>Step 9</v>
      </c>
      <c r="AQ91" t="e">
        <f t="shared" si="32"/>
        <v>#N/A</v>
      </c>
      <c r="AR91" t="str">
        <f t="shared" si="33"/>
        <v>Step 2</v>
      </c>
      <c r="AS91" t="str">
        <f t="shared" si="34"/>
        <v/>
      </c>
      <c r="AT91" t="str">
        <f t="shared" si="35"/>
        <v/>
      </c>
      <c r="AU91" t="str">
        <f t="shared" si="36"/>
        <v/>
      </c>
      <c r="AV91" t="str">
        <f t="shared" si="37"/>
        <v/>
      </c>
      <c r="AW91" t="str">
        <f t="shared" si="38"/>
        <v/>
      </c>
      <c r="AX91" t="str">
        <f t="shared" si="39"/>
        <v/>
      </c>
      <c r="AY91" t="str">
        <f t="shared" si="40"/>
        <v/>
      </c>
    </row>
    <row r="92" spans="1:51" x14ac:dyDescent="0.3">
      <c r="A92" s="16" t="s">
        <v>144</v>
      </c>
      <c r="B92" s="16" t="s">
        <v>228</v>
      </c>
      <c r="C92" s="16" t="s">
        <v>221</v>
      </c>
      <c r="D92" s="16" t="s">
        <v>226</v>
      </c>
      <c r="W92" t="e">
        <f t="shared" si="41"/>
        <v>#N/A</v>
      </c>
      <c r="X92" t="str">
        <f t="shared" si="42"/>
        <v/>
      </c>
      <c r="Y92" t="str">
        <f t="shared" si="43"/>
        <v/>
      </c>
      <c r="Z92" t="str">
        <f t="shared" si="44"/>
        <v/>
      </c>
      <c r="AA92" t="str">
        <f t="shared" si="45"/>
        <v/>
      </c>
      <c r="AB92" t="str">
        <f t="shared" si="46"/>
        <v/>
      </c>
      <c r="AC92" t="str">
        <f t="shared" si="47"/>
        <v/>
      </c>
      <c r="AD92" t="str">
        <f t="shared" si="48"/>
        <v>Step 8</v>
      </c>
      <c r="AE92" t="str">
        <f t="shared" si="29"/>
        <v/>
      </c>
      <c r="AG92" t="str">
        <f t="shared" si="49"/>
        <v>Step 1</v>
      </c>
      <c r="AH92" t="str">
        <f t="shared" si="50"/>
        <v/>
      </c>
      <c r="AI92" t="str">
        <f t="shared" si="51"/>
        <v/>
      </c>
      <c r="AJ92" t="str">
        <f t="shared" si="52"/>
        <v/>
      </c>
      <c r="AK92" t="str">
        <f t="shared" si="53"/>
        <v/>
      </c>
      <c r="AL92" t="str">
        <f t="shared" si="54"/>
        <v/>
      </c>
      <c r="AM92" t="str">
        <f t="shared" si="55"/>
        <v/>
      </c>
      <c r="AN92" t="str">
        <f t="shared" si="30"/>
        <v/>
      </c>
      <c r="AO92" t="str">
        <f t="shared" si="31"/>
        <v/>
      </c>
      <c r="AQ92" t="e">
        <f t="shared" si="32"/>
        <v>#N/A</v>
      </c>
      <c r="AR92" t="str">
        <f t="shared" si="33"/>
        <v/>
      </c>
      <c r="AS92" t="str">
        <f t="shared" si="34"/>
        <v/>
      </c>
      <c r="AT92" t="str">
        <f t="shared" si="35"/>
        <v/>
      </c>
      <c r="AU92" t="str">
        <f t="shared" si="36"/>
        <v/>
      </c>
      <c r="AV92" t="str">
        <f t="shared" si="37"/>
        <v>Step 6</v>
      </c>
      <c r="AW92" t="str">
        <f t="shared" si="38"/>
        <v/>
      </c>
      <c r="AX92" t="str">
        <f t="shared" si="39"/>
        <v/>
      </c>
      <c r="AY92" t="str">
        <f t="shared" si="40"/>
        <v/>
      </c>
    </row>
    <row r="93" spans="1:51" x14ac:dyDescent="0.3">
      <c r="A93" s="16" t="s">
        <v>145</v>
      </c>
      <c r="B93" s="16" t="s">
        <v>225</v>
      </c>
      <c r="C93" s="16" t="s">
        <v>229</v>
      </c>
      <c r="D93" s="16" t="s">
        <v>223</v>
      </c>
      <c r="W93" t="e">
        <f t="shared" si="41"/>
        <v>#N/A</v>
      </c>
      <c r="X93" t="str">
        <f t="shared" si="42"/>
        <v/>
      </c>
      <c r="Y93" t="str">
        <f t="shared" si="43"/>
        <v/>
      </c>
      <c r="Z93" t="str">
        <f t="shared" si="44"/>
        <v/>
      </c>
      <c r="AA93" t="str">
        <f t="shared" si="45"/>
        <v>Step 5</v>
      </c>
      <c r="AB93" t="str">
        <f t="shared" si="46"/>
        <v/>
      </c>
      <c r="AC93" t="str">
        <f t="shared" si="47"/>
        <v/>
      </c>
      <c r="AD93" t="str">
        <f t="shared" si="48"/>
        <v/>
      </c>
      <c r="AE93" t="str">
        <f t="shared" si="29"/>
        <v/>
      </c>
      <c r="AG93" t="e">
        <f t="shared" si="49"/>
        <v>#N/A</v>
      </c>
      <c r="AH93" t="str">
        <f t="shared" si="50"/>
        <v/>
      </c>
      <c r="AI93" t="str">
        <f t="shared" si="51"/>
        <v/>
      </c>
      <c r="AJ93" t="str">
        <f t="shared" si="52"/>
        <v/>
      </c>
      <c r="AK93" t="str">
        <f t="shared" si="53"/>
        <v/>
      </c>
      <c r="AL93" t="str">
        <f t="shared" si="54"/>
        <v/>
      </c>
      <c r="AM93" t="str">
        <f t="shared" si="55"/>
        <v/>
      </c>
      <c r="AN93" t="str">
        <f t="shared" si="30"/>
        <v/>
      </c>
      <c r="AO93" t="str">
        <f t="shared" si="31"/>
        <v>Step 9</v>
      </c>
      <c r="AQ93" t="e">
        <f t="shared" si="32"/>
        <v>#N/A</v>
      </c>
      <c r="AR93" t="str">
        <f t="shared" si="33"/>
        <v/>
      </c>
      <c r="AS93" t="str">
        <f t="shared" si="34"/>
        <v>Step 3</v>
      </c>
      <c r="AT93" t="str">
        <f t="shared" si="35"/>
        <v/>
      </c>
      <c r="AU93" t="str">
        <f t="shared" si="36"/>
        <v/>
      </c>
      <c r="AV93" t="str">
        <f t="shared" si="37"/>
        <v/>
      </c>
      <c r="AW93" t="str">
        <f t="shared" si="38"/>
        <v/>
      </c>
      <c r="AX93" t="str">
        <f t="shared" si="39"/>
        <v/>
      </c>
      <c r="AY93" t="str">
        <f t="shared" si="40"/>
        <v/>
      </c>
    </row>
    <row r="94" spans="1:51" x14ac:dyDescent="0.3">
      <c r="A94" s="16" t="s">
        <v>146</v>
      </c>
      <c r="B94" s="16" t="s">
        <v>223</v>
      </c>
      <c r="C94" s="16" t="s">
        <v>229</v>
      </c>
      <c r="D94" s="16" t="s">
        <v>228</v>
      </c>
      <c r="W94" t="e">
        <f t="shared" si="41"/>
        <v>#N/A</v>
      </c>
      <c r="X94" t="str">
        <f t="shared" si="42"/>
        <v/>
      </c>
      <c r="Y94" t="str">
        <f t="shared" si="43"/>
        <v>Step 3</v>
      </c>
      <c r="Z94" t="str">
        <f t="shared" si="44"/>
        <v/>
      </c>
      <c r="AA94" t="str">
        <f t="shared" si="45"/>
        <v/>
      </c>
      <c r="AB94" t="str">
        <f t="shared" si="46"/>
        <v/>
      </c>
      <c r="AC94" t="str">
        <f t="shared" si="47"/>
        <v/>
      </c>
      <c r="AD94" t="str">
        <f t="shared" si="48"/>
        <v/>
      </c>
      <c r="AE94" t="str">
        <f t="shared" si="29"/>
        <v/>
      </c>
      <c r="AG94" t="e">
        <f t="shared" si="49"/>
        <v>#N/A</v>
      </c>
      <c r="AH94" t="str">
        <f t="shared" si="50"/>
        <v/>
      </c>
      <c r="AI94" t="str">
        <f t="shared" si="51"/>
        <v/>
      </c>
      <c r="AJ94" t="str">
        <f t="shared" si="52"/>
        <v/>
      </c>
      <c r="AK94" t="str">
        <f t="shared" si="53"/>
        <v/>
      </c>
      <c r="AL94" t="str">
        <f t="shared" si="54"/>
        <v/>
      </c>
      <c r="AM94" t="str">
        <f t="shared" si="55"/>
        <v/>
      </c>
      <c r="AN94" t="str">
        <f t="shared" si="30"/>
        <v/>
      </c>
      <c r="AO94" t="str">
        <f t="shared" si="31"/>
        <v>Step 9</v>
      </c>
      <c r="AQ94" t="e">
        <f t="shared" si="32"/>
        <v>#N/A</v>
      </c>
      <c r="AR94" t="str">
        <f t="shared" si="33"/>
        <v/>
      </c>
      <c r="AS94" t="str">
        <f t="shared" si="34"/>
        <v/>
      </c>
      <c r="AT94" t="str">
        <f t="shared" si="35"/>
        <v/>
      </c>
      <c r="AU94" t="str">
        <f t="shared" si="36"/>
        <v/>
      </c>
      <c r="AV94" t="str">
        <f t="shared" si="37"/>
        <v/>
      </c>
      <c r="AW94" t="str">
        <f t="shared" si="38"/>
        <v/>
      </c>
      <c r="AX94" t="str">
        <f t="shared" si="39"/>
        <v>Step 8</v>
      </c>
      <c r="AY94" t="str">
        <f t="shared" si="40"/>
        <v/>
      </c>
    </row>
    <row r="95" spans="1:51" x14ac:dyDescent="0.3">
      <c r="A95" s="16" t="s">
        <v>147</v>
      </c>
      <c r="B95" s="16" t="s">
        <v>226</v>
      </c>
      <c r="C95" s="16" t="s">
        <v>223</v>
      </c>
      <c r="D95" s="16" t="s">
        <v>226</v>
      </c>
      <c r="W95" t="e">
        <f t="shared" si="41"/>
        <v>#N/A</v>
      </c>
      <c r="X95" t="str">
        <f t="shared" si="42"/>
        <v/>
      </c>
      <c r="Y95" t="str">
        <f t="shared" si="43"/>
        <v/>
      </c>
      <c r="Z95" t="str">
        <f t="shared" si="44"/>
        <v/>
      </c>
      <c r="AA95" t="str">
        <f t="shared" si="45"/>
        <v/>
      </c>
      <c r="AB95" t="str">
        <f t="shared" si="46"/>
        <v>Step 6</v>
      </c>
      <c r="AC95" t="str">
        <f t="shared" si="47"/>
        <v/>
      </c>
      <c r="AD95" t="str">
        <f t="shared" si="48"/>
        <v/>
      </c>
      <c r="AE95" t="str">
        <f t="shared" si="29"/>
        <v/>
      </c>
      <c r="AG95" t="e">
        <f t="shared" si="49"/>
        <v>#N/A</v>
      </c>
      <c r="AH95" t="str">
        <f t="shared" si="50"/>
        <v/>
      </c>
      <c r="AI95" t="str">
        <f t="shared" si="51"/>
        <v>Step 3</v>
      </c>
      <c r="AJ95" t="str">
        <f t="shared" si="52"/>
        <v/>
      </c>
      <c r="AK95" t="str">
        <f t="shared" si="53"/>
        <v/>
      </c>
      <c r="AL95" t="str">
        <f t="shared" si="54"/>
        <v/>
      </c>
      <c r="AM95" t="str">
        <f t="shared" si="55"/>
        <v/>
      </c>
      <c r="AN95" t="str">
        <f t="shared" si="30"/>
        <v/>
      </c>
      <c r="AO95" t="str">
        <f t="shared" si="31"/>
        <v/>
      </c>
      <c r="AQ95" t="e">
        <f t="shared" si="32"/>
        <v>#N/A</v>
      </c>
      <c r="AR95" t="str">
        <f t="shared" si="33"/>
        <v/>
      </c>
      <c r="AS95" t="str">
        <f t="shared" si="34"/>
        <v/>
      </c>
      <c r="AT95" t="str">
        <f t="shared" si="35"/>
        <v/>
      </c>
      <c r="AU95" t="str">
        <f t="shared" si="36"/>
        <v/>
      </c>
      <c r="AV95" t="str">
        <f t="shared" si="37"/>
        <v>Step 6</v>
      </c>
      <c r="AW95" t="str">
        <f t="shared" si="38"/>
        <v/>
      </c>
      <c r="AX95" t="str">
        <f t="shared" si="39"/>
        <v/>
      </c>
      <c r="AY95" t="str">
        <f t="shared" si="40"/>
        <v/>
      </c>
    </row>
    <row r="96" spans="1:51" x14ac:dyDescent="0.3">
      <c r="A96" s="16" t="s">
        <v>148</v>
      </c>
      <c r="B96" s="16" t="s">
        <v>227</v>
      </c>
      <c r="C96" s="16" t="s">
        <v>221</v>
      </c>
      <c r="D96" s="16" t="s">
        <v>228</v>
      </c>
      <c r="W96" t="e">
        <f t="shared" si="41"/>
        <v>#N/A</v>
      </c>
      <c r="X96" t="str">
        <f t="shared" si="42"/>
        <v/>
      </c>
      <c r="Y96" t="str">
        <f t="shared" si="43"/>
        <v/>
      </c>
      <c r="Z96" t="str">
        <f t="shared" si="44"/>
        <v/>
      </c>
      <c r="AA96" t="str">
        <f t="shared" si="45"/>
        <v/>
      </c>
      <c r="AB96" t="str">
        <f t="shared" si="46"/>
        <v/>
      </c>
      <c r="AC96" t="str">
        <f t="shared" si="47"/>
        <v>Step 7</v>
      </c>
      <c r="AD96" t="str">
        <f t="shared" si="48"/>
        <v/>
      </c>
      <c r="AE96" t="str">
        <f t="shared" si="29"/>
        <v/>
      </c>
      <c r="AG96" t="str">
        <f t="shared" si="49"/>
        <v>Step 1</v>
      </c>
      <c r="AH96" t="str">
        <f t="shared" si="50"/>
        <v/>
      </c>
      <c r="AI96" t="str">
        <f t="shared" si="51"/>
        <v/>
      </c>
      <c r="AJ96" t="str">
        <f t="shared" si="52"/>
        <v/>
      </c>
      <c r="AK96" t="str">
        <f t="shared" si="53"/>
        <v/>
      </c>
      <c r="AL96" t="str">
        <f t="shared" si="54"/>
        <v/>
      </c>
      <c r="AM96" t="str">
        <f t="shared" si="55"/>
        <v/>
      </c>
      <c r="AN96" t="str">
        <f t="shared" si="30"/>
        <v/>
      </c>
      <c r="AO96" t="str">
        <f t="shared" si="31"/>
        <v/>
      </c>
      <c r="AQ96" t="e">
        <f t="shared" si="32"/>
        <v>#N/A</v>
      </c>
      <c r="AR96" t="str">
        <f t="shared" si="33"/>
        <v/>
      </c>
      <c r="AS96" t="str">
        <f t="shared" si="34"/>
        <v/>
      </c>
      <c r="AT96" t="str">
        <f t="shared" si="35"/>
        <v/>
      </c>
      <c r="AU96" t="str">
        <f t="shared" si="36"/>
        <v/>
      </c>
      <c r="AV96" t="str">
        <f t="shared" si="37"/>
        <v/>
      </c>
      <c r="AW96" t="str">
        <f t="shared" si="38"/>
        <v/>
      </c>
      <c r="AX96" t="str">
        <f t="shared" si="39"/>
        <v>Step 8</v>
      </c>
      <c r="AY96" t="str">
        <f t="shared" si="40"/>
        <v/>
      </c>
    </row>
    <row r="97" spans="1:51" x14ac:dyDescent="0.3">
      <c r="A97" s="16" t="s">
        <v>149</v>
      </c>
      <c r="B97" s="16" t="s">
        <v>229</v>
      </c>
      <c r="C97" s="16" t="s">
        <v>229</v>
      </c>
      <c r="D97" s="16" t="s">
        <v>225</v>
      </c>
      <c r="W97" t="e">
        <f t="shared" si="41"/>
        <v>#N/A</v>
      </c>
      <c r="X97" t="str">
        <f t="shared" si="42"/>
        <v/>
      </c>
      <c r="Y97" t="str">
        <f t="shared" si="43"/>
        <v/>
      </c>
      <c r="Z97" t="str">
        <f t="shared" si="44"/>
        <v/>
      </c>
      <c r="AA97" t="str">
        <f t="shared" si="45"/>
        <v/>
      </c>
      <c r="AB97" t="str">
        <f t="shared" si="46"/>
        <v/>
      </c>
      <c r="AC97" t="str">
        <f t="shared" si="47"/>
        <v/>
      </c>
      <c r="AD97" t="str">
        <f t="shared" si="48"/>
        <v/>
      </c>
      <c r="AE97" t="str">
        <f t="shared" si="29"/>
        <v>Step 9</v>
      </c>
      <c r="AG97" t="e">
        <f t="shared" si="49"/>
        <v>#N/A</v>
      </c>
      <c r="AH97" t="str">
        <f t="shared" si="50"/>
        <v/>
      </c>
      <c r="AI97" t="str">
        <f t="shared" si="51"/>
        <v/>
      </c>
      <c r="AJ97" t="str">
        <f t="shared" si="52"/>
        <v/>
      </c>
      <c r="AK97" t="str">
        <f t="shared" si="53"/>
        <v/>
      </c>
      <c r="AL97" t="str">
        <f t="shared" si="54"/>
        <v/>
      </c>
      <c r="AM97" t="str">
        <f t="shared" si="55"/>
        <v/>
      </c>
      <c r="AN97" t="str">
        <f t="shared" si="30"/>
        <v/>
      </c>
      <c r="AO97" t="str">
        <f t="shared" si="31"/>
        <v>Step 9</v>
      </c>
      <c r="AQ97" t="e">
        <f t="shared" si="32"/>
        <v>#N/A</v>
      </c>
      <c r="AR97" t="str">
        <f t="shared" si="33"/>
        <v/>
      </c>
      <c r="AS97" t="str">
        <f t="shared" si="34"/>
        <v/>
      </c>
      <c r="AT97" t="str">
        <f t="shared" si="35"/>
        <v/>
      </c>
      <c r="AU97" t="str">
        <f t="shared" si="36"/>
        <v>Step 5</v>
      </c>
      <c r="AV97" t="str">
        <f t="shared" si="37"/>
        <v/>
      </c>
      <c r="AW97" t="str">
        <f t="shared" si="38"/>
        <v/>
      </c>
      <c r="AX97" t="str">
        <f t="shared" si="39"/>
        <v/>
      </c>
      <c r="AY97" t="str">
        <f t="shared" si="40"/>
        <v/>
      </c>
    </row>
    <row r="98" spans="1:51" x14ac:dyDescent="0.3">
      <c r="A98" s="16" t="s">
        <v>150</v>
      </c>
      <c r="B98" s="16" t="s">
        <v>223</v>
      </c>
      <c r="C98" s="16" t="s">
        <v>229</v>
      </c>
      <c r="D98" s="16" t="s">
        <v>224</v>
      </c>
      <c r="W98" t="e">
        <f t="shared" si="41"/>
        <v>#N/A</v>
      </c>
      <c r="X98" t="str">
        <f t="shared" si="42"/>
        <v/>
      </c>
      <c r="Y98" t="str">
        <f t="shared" si="43"/>
        <v>Step 3</v>
      </c>
      <c r="Z98" t="str">
        <f t="shared" si="44"/>
        <v/>
      </c>
      <c r="AA98" t="str">
        <f t="shared" si="45"/>
        <v/>
      </c>
      <c r="AB98" t="str">
        <f t="shared" si="46"/>
        <v/>
      </c>
      <c r="AC98" t="str">
        <f t="shared" si="47"/>
        <v/>
      </c>
      <c r="AD98" t="str">
        <f t="shared" si="48"/>
        <v/>
      </c>
      <c r="AE98" t="str">
        <f t="shared" si="29"/>
        <v/>
      </c>
      <c r="AG98" t="e">
        <f t="shared" si="49"/>
        <v>#N/A</v>
      </c>
      <c r="AH98" t="str">
        <f t="shared" si="50"/>
        <v/>
      </c>
      <c r="AI98" t="str">
        <f t="shared" si="51"/>
        <v/>
      </c>
      <c r="AJ98" t="str">
        <f t="shared" si="52"/>
        <v/>
      </c>
      <c r="AK98" t="str">
        <f t="shared" si="53"/>
        <v/>
      </c>
      <c r="AL98" t="str">
        <f t="shared" si="54"/>
        <v/>
      </c>
      <c r="AM98" t="str">
        <f t="shared" si="55"/>
        <v/>
      </c>
      <c r="AN98" t="str">
        <f t="shared" si="30"/>
        <v/>
      </c>
      <c r="AO98" t="str">
        <f t="shared" si="31"/>
        <v>Step 9</v>
      </c>
      <c r="AQ98" t="e">
        <f t="shared" si="32"/>
        <v>#N/A</v>
      </c>
      <c r="AR98" t="str">
        <f t="shared" si="33"/>
        <v/>
      </c>
      <c r="AS98" t="str">
        <f t="shared" si="34"/>
        <v/>
      </c>
      <c r="AT98" t="str">
        <f t="shared" si="35"/>
        <v>Step 4</v>
      </c>
      <c r="AU98" t="str">
        <f t="shared" si="36"/>
        <v/>
      </c>
      <c r="AV98" t="str">
        <f t="shared" si="37"/>
        <v/>
      </c>
      <c r="AW98" t="str">
        <f t="shared" si="38"/>
        <v/>
      </c>
      <c r="AX98" t="str">
        <f t="shared" si="39"/>
        <v/>
      </c>
      <c r="AY98" t="str">
        <f t="shared" si="40"/>
        <v/>
      </c>
    </row>
    <row r="99" spans="1:51" x14ac:dyDescent="0.3">
      <c r="A99" s="16" t="s">
        <v>151</v>
      </c>
      <c r="B99" s="16" t="s">
        <v>229</v>
      </c>
      <c r="C99" s="16" t="s">
        <v>228</v>
      </c>
      <c r="D99" s="16" t="s">
        <v>227</v>
      </c>
      <c r="W99" t="e">
        <f t="shared" si="41"/>
        <v>#N/A</v>
      </c>
      <c r="X99" t="str">
        <f t="shared" si="42"/>
        <v/>
      </c>
      <c r="Y99" t="str">
        <f t="shared" si="43"/>
        <v/>
      </c>
      <c r="Z99" t="str">
        <f t="shared" si="44"/>
        <v/>
      </c>
      <c r="AA99" t="str">
        <f t="shared" si="45"/>
        <v/>
      </c>
      <c r="AB99" t="str">
        <f t="shared" si="46"/>
        <v/>
      </c>
      <c r="AC99" t="str">
        <f t="shared" si="47"/>
        <v/>
      </c>
      <c r="AD99" t="str">
        <f t="shared" si="48"/>
        <v/>
      </c>
      <c r="AE99" t="str">
        <f t="shared" si="29"/>
        <v>Step 9</v>
      </c>
      <c r="AG99" t="e">
        <f t="shared" si="49"/>
        <v>#N/A</v>
      </c>
      <c r="AH99" t="str">
        <f t="shared" si="50"/>
        <v/>
      </c>
      <c r="AI99" t="str">
        <f t="shared" si="51"/>
        <v/>
      </c>
      <c r="AJ99" t="str">
        <f t="shared" si="52"/>
        <v/>
      </c>
      <c r="AK99" t="str">
        <f t="shared" si="53"/>
        <v/>
      </c>
      <c r="AL99" t="str">
        <f t="shared" si="54"/>
        <v/>
      </c>
      <c r="AM99" t="str">
        <f t="shared" si="55"/>
        <v/>
      </c>
      <c r="AN99" t="str">
        <f t="shared" si="30"/>
        <v>Step 8</v>
      </c>
      <c r="AO99" t="str">
        <f t="shared" si="31"/>
        <v/>
      </c>
      <c r="AQ99" t="e">
        <f t="shared" si="32"/>
        <v>#N/A</v>
      </c>
      <c r="AR99" t="str">
        <f t="shared" si="33"/>
        <v/>
      </c>
      <c r="AS99" t="str">
        <f t="shared" si="34"/>
        <v/>
      </c>
      <c r="AT99" t="str">
        <f t="shared" si="35"/>
        <v/>
      </c>
      <c r="AU99" t="str">
        <f t="shared" si="36"/>
        <v/>
      </c>
      <c r="AV99" t="str">
        <f t="shared" si="37"/>
        <v/>
      </c>
      <c r="AW99" t="str">
        <f t="shared" si="38"/>
        <v>Step 7</v>
      </c>
      <c r="AX99" t="str">
        <f t="shared" si="39"/>
        <v/>
      </c>
      <c r="AY99" t="str">
        <f t="shared" si="40"/>
        <v/>
      </c>
    </row>
    <row r="100" spans="1:51" x14ac:dyDescent="0.3">
      <c r="A100" s="16" t="s">
        <v>152</v>
      </c>
      <c r="B100" s="16" t="s">
        <v>229</v>
      </c>
      <c r="C100" s="16" t="s">
        <v>223</v>
      </c>
      <c r="D100" s="16" t="s">
        <v>229</v>
      </c>
      <c r="W100" t="e">
        <f t="shared" si="41"/>
        <v>#N/A</v>
      </c>
      <c r="X100" t="str">
        <f t="shared" si="42"/>
        <v/>
      </c>
      <c r="Y100" t="str">
        <f t="shared" si="43"/>
        <v/>
      </c>
      <c r="Z100" t="str">
        <f t="shared" si="44"/>
        <v/>
      </c>
      <c r="AA100" t="str">
        <f t="shared" si="45"/>
        <v/>
      </c>
      <c r="AB100" t="str">
        <f t="shared" si="46"/>
        <v/>
      </c>
      <c r="AC100" t="str">
        <f t="shared" si="47"/>
        <v/>
      </c>
      <c r="AD100" t="str">
        <f t="shared" si="48"/>
        <v/>
      </c>
      <c r="AE100" t="str">
        <f t="shared" si="29"/>
        <v>Step 9</v>
      </c>
      <c r="AG100" t="e">
        <f t="shared" si="49"/>
        <v>#N/A</v>
      </c>
      <c r="AH100" t="str">
        <f t="shared" si="50"/>
        <v/>
      </c>
      <c r="AI100" t="str">
        <f t="shared" si="51"/>
        <v>Step 3</v>
      </c>
      <c r="AJ100" t="str">
        <f t="shared" si="52"/>
        <v/>
      </c>
      <c r="AK100" t="str">
        <f t="shared" si="53"/>
        <v/>
      </c>
      <c r="AL100" t="str">
        <f t="shared" si="54"/>
        <v/>
      </c>
      <c r="AM100" t="str">
        <f t="shared" si="55"/>
        <v/>
      </c>
      <c r="AN100" t="str">
        <f t="shared" si="30"/>
        <v/>
      </c>
      <c r="AO100" t="str">
        <f t="shared" si="31"/>
        <v/>
      </c>
      <c r="AQ100" t="e">
        <f t="shared" si="32"/>
        <v>#N/A</v>
      </c>
      <c r="AR100" t="str">
        <f t="shared" si="33"/>
        <v/>
      </c>
      <c r="AS100" t="str">
        <f t="shared" si="34"/>
        <v/>
      </c>
      <c r="AT100" t="str">
        <f t="shared" si="35"/>
        <v/>
      </c>
      <c r="AU100" t="str">
        <f t="shared" si="36"/>
        <v/>
      </c>
      <c r="AV100" t="str">
        <f t="shared" si="37"/>
        <v/>
      </c>
      <c r="AW100" t="str">
        <f t="shared" si="38"/>
        <v/>
      </c>
      <c r="AX100" t="str">
        <f t="shared" si="39"/>
        <v/>
      </c>
      <c r="AY100" t="str">
        <f t="shared" si="40"/>
        <v>Step 9</v>
      </c>
    </row>
    <row r="101" spans="1:51" x14ac:dyDescent="0.3">
      <c r="A101" s="16" t="s">
        <v>153</v>
      </c>
      <c r="B101" s="16" t="s">
        <v>227</v>
      </c>
      <c r="C101" s="16" t="s">
        <v>222</v>
      </c>
      <c r="D101" s="16" t="s">
        <v>223</v>
      </c>
      <c r="W101" t="e">
        <f t="shared" si="41"/>
        <v>#N/A</v>
      </c>
      <c r="X101" t="str">
        <f t="shared" si="42"/>
        <v/>
      </c>
      <c r="Y101" t="str">
        <f t="shared" si="43"/>
        <v/>
      </c>
      <c r="Z101" t="str">
        <f t="shared" si="44"/>
        <v/>
      </c>
      <c r="AA101" t="str">
        <f t="shared" si="45"/>
        <v/>
      </c>
      <c r="AB101" t="str">
        <f t="shared" si="46"/>
        <v/>
      </c>
      <c r="AC101" t="str">
        <f t="shared" si="47"/>
        <v>Step 7</v>
      </c>
      <c r="AD101" t="str">
        <f t="shared" si="48"/>
        <v/>
      </c>
      <c r="AE101" t="str">
        <f t="shared" si="29"/>
        <v/>
      </c>
      <c r="AG101" t="e">
        <f t="shared" si="49"/>
        <v>#N/A</v>
      </c>
      <c r="AH101" t="str">
        <f t="shared" si="50"/>
        <v>Step 2</v>
      </c>
      <c r="AI101" t="str">
        <f t="shared" si="51"/>
        <v/>
      </c>
      <c r="AJ101" t="str">
        <f t="shared" si="52"/>
        <v/>
      </c>
      <c r="AK101" t="str">
        <f t="shared" si="53"/>
        <v/>
      </c>
      <c r="AL101" t="str">
        <f t="shared" si="54"/>
        <v/>
      </c>
      <c r="AM101" t="str">
        <f t="shared" si="55"/>
        <v/>
      </c>
      <c r="AN101" t="str">
        <f t="shared" si="30"/>
        <v/>
      </c>
      <c r="AO101" t="str">
        <f t="shared" si="31"/>
        <v/>
      </c>
      <c r="AQ101" t="e">
        <f t="shared" si="32"/>
        <v>#N/A</v>
      </c>
      <c r="AR101" t="str">
        <f t="shared" si="33"/>
        <v/>
      </c>
      <c r="AS101" t="str">
        <f t="shared" si="34"/>
        <v>Step 3</v>
      </c>
      <c r="AT101" t="str">
        <f t="shared" si="35"/>
        <v/>
      </c>
      <c r="AU101" t="str">
        <f t="shared" si="36"/>
        <v/>
      </c>
      <c r="AV101" t="str">
        <f t="shared" si="37"/>
        <v/>
      </c>
      <c r="AW101" t="str">
        <f t="shared" si="38"/>
        <v/>
      </c>
      <c r="AX101" t="str">
        <f t="shared" si="39"/>
        <v/>
      </c>
      <c r="AY101" t="str">
        <f t="shared" si="40"/>
        <v/>
      </c>
    </row>
    <row r="102" spans="1:51" x14ac:dyDescent="0.3">
      <c r="A102" s="16" t="s">
        <v>154</v>
      </c>
      <c r="B102" s="16" t="s">
        <v>221</v>
      </c>
      <c r="C102" s="16" t="s">
        <v>227</v>
      </c>
      <c r="D102" s="16" t="s">
        <v>222</v>
      </c>
      <c r="W102" t="str">
        <f t="shared" si="41"/>
        <v>Step 1</v>
      </c>
      <c r="X102" t="str">
        <f t="shared" si="42"/>
        <v/>
      </c>
      <c r="Y102" t="str">
        <f t="shared" si="43"/>
        <v/>
      </c>
      <c r="Z102" t="str">
        <f t="shared" si="44"/>
        <v/>
      </c>
      <c r="AA102" t="str">
        <f t="shared" si="45"/>
        <v/>
      </c>
      <c r="AB102" t="str">
        <f t="shared" si="46"/>
        <v/>
      </c>
      <c r="AC102" t="str">
        <f t="shared" si="47"/>
        <v/>
      </c>
      <c r="AD102" t="str">
        <f t="shared" si="48"/>
        <v/>
      </c>
      <c r="AE102" t="str">
        <f t="shared" si="29"/>
        <v/>
      </c>
      <c r="AG102" t="e">
        <f t="shared" si="49"/>
        <v>#N/A</v>
      </c>
      <c r="AH102" t="str">
        <f t="shared" si="50"/>
        <v/>
      </c>
      <c r="AI102" t="str">
        <f t="shared" si="51"/>
        <v/>
      </c>
      <c r="AJ102" t="str">
        <f t="shared" si="52"/>
        <v/>
      </c>
      <c r="AK102" t="str">
        <f t="shared" si="53"/>
        <v/>
      </c>
      <c r="AL102" t="str">
        <f t="shared" si="54"/>
        <v/>
      </c>
      <c r="AM102" t="str">
        <f t="shared" si="55"/>
        <v>Step 7</v>
      </c>
      <c r="AN102" t="str">
        <f t="shared" si="30"/>
        <v/>
      </c>
      <c r="AO102" t="str">
        <f t="shared" si="31"/>
        <v/>
      </c>
      <c r="AQ102" t="e">
        <f t="shared" si="32"/>
        <v>#N/A</v>
      </c>
      <c r="AR102" t="str">
        <f t="shared" si="33"/>
        <v>Step 2</v>
      </c>
      <c r="AS102" t="str">
        <f t="shared" si="34"/>
        <v/>
      </c>
      <c r="AT102" t="str">
        <f t="shared" si="35"/>
        <v/>
      </c>
      <c r="AU102" t="str">
        <f t="shared" si="36"/>
        <v/>
      </c>
      <c r="AV102" t="str">
        <f t="shared" si="37"/>
        <v/>
      </c>
      <c r="AW102" t="str">
        <f t="shared" si="38"/>
        <v/>
      </c>
      <c r="AX102" t="str">
        <f t="shared" si="39"/>
        <v/>
      </c>
      <c r="AY102" t="str">
        <f t="shared" si="40"/>
        <v/>
      </c>
    </row>
    <row r="103" spans="1:51" x14ac:dyDescent="0.3">
      <c r="A103" s="16" t="s">
        <v>155</v>
      </c>
      <c r="B103" s="16" t="s">
        <v>223</v>
      </c>
      <c r="C103" s="16" t="s">
        <v>229</v>
      </c>
      <c r="D103" s="16" t="s">
        <v>223</v>
      </c>
      <c r="W103" t="e">
        <f t="shared" si="41"/>
        <v>#N/A</v>
      </c>
      <c r="X103" t="str">
        <f t="shared" si="42"/>
        <v/>
      </c>
      <c r="Y103" t="str">
        <f t="shared" si="43"/>
        <v>Step 3</v>
      </c>
      <c r="Z103" t="str">
        <f t="shared" si="44"/>
        <v/>
      </c>
      <c r="AA103" t="str">
        <f t="shared" si="45"/>
        <v/>
      </c>
      <c r="AB103" t="str">
        <f t="shared" si="46"/>
        <v/>
      </c>
      <c r="AC103" t="str">
        <f t="shared" si="47"/>
        <v/>
      </c>
      <c r="AD103" t="str">
        <f t="shared" si="48"/>
        <v/>
      </c>
      <c r="AE103" t="str">
        <f t="shared" si="29"/>
        <v/>
      </c>
      <c r="AG103" t="e">
        <f t="shared" si="49"/>
        <v>#N/A</v>
      </c>
      <c r="AH103" t="str">
        <f t="shared" si="50"/>
        <v/>
      </c>
      <c r="AI103" t="str">
        <f t="shared" si="51"/>
        <v/>
      </c>
      <c r="AJ103" t="str">
        <f t="shared" si="52"/>
        <v/>
      </c>
      <c r="AK103" t="str">
        <f t="shared" si="53"/>
        <v/>
      </c>
      <c r="AL103" t="str">
        <f t="shared" si="54"/>
        <v/>
      </c>
      <c r="AM103" t="str">
        <f t="shared" si="55"/>
        <v/>
      </c>
      <c r="AN103" t="str">
        <f t="shared" si="30"/>
        <v/>
      </c>
      <c r="AO103" t="str">
        <f t="shared" si="31"/>
        <v>Step 9</v>
      </c>
      <c r="AQ103" t="e">
        <f t="shared" si="32"/>
        <v>#N/A</v>
      </c>
      <c r="AR103" t="str">
        <f t="shared" si="33"/>
        <v/>
      </c>
      <c r="AS103" t="str">
        <f t="shared" si="34"/>
        <v>Step 3</v>
      </c>
      <c r="AT103" t="str">
        <f t="shared" si="35"/>
        <v/>
      </c>
      <c r="AU103" t="str">
        <f t="shared" si="36"/>
        <v/>
      </c>
      <c r="AV103" t="str">
        <f t="shared" si="37"/>
        <v/>
      </c>
      <c r="AW103" t="str">
        <f t="shared" si="38"/>
        <v/>
      </c>
      <c r="AX103" t="str">
        <f t="shared" si="39"/>
        <v/>
      </c>
      <c r="AY103" t="str">
        <f t="shared" si="40"/>
        <v/>
      </c>
    </row>
    <row r="104" spans="1:51" x14ac:dyDescent="0.3">
      <c r="A104" s="16" t="s">
        <v>156</v>
      </c>
      <c r="B104" s="16" t="s">
        <v>222</v>
      </c>
      <c r="C104" s="16" t="s">
        <v>227</v>
      </c>
      <c r="D104" s="16" t="s">
        <v>221</v>
      </c>
      <c r="W104" t="e">
        <f t="shared" si="41"/>
        <v>#N/A</v>
      </c>
      <c r="X104" t="str">
        <f t="shared" si="42"/>
        <v>Step 2</v>
      </c>
      <c r="Y104" t="str">
        <f t="shared" si="43"/>
        <v/>
      </c>
      <c r="Z104" t="str">
        <f t="shared" si="44"/>
        <v/>
      </c>
      <c r="AA104" t="str">
        <f t="shared" si="45"/>
        <v/>
      </c>
      <c r="AB104" t="str">
        <f t="shared" si="46"/>
        <v/>
      </c>
      <c r="AC104" t="str">
        <f t="shared" si="47"/>
        <v/>
      </c>
      <c r="AD104" t="str">
        <f t="shared" si="48"/>
        <v/>
      </c>
      <c r="AE104" t="str">
        <f t="shared" si="29"/>
        <v/>
      </c>
      <c r="AG104" t="e">
        <f t="shared" si="49"/>
        <v>#N/A</v>
      </c>
      <c r="AH104" t="str">
        <f t="shared" si="50"/>
        <v/>
      </c>
      <c r="AI104" t="str">
        <f t="shared" si="51"/>
        <v/>
      </c>
      <c r="AJ104" t="str">
        <f t="shared" si="52"/>
        <v/>
      </c>
      <c r="AK104" t="str">
        <f t="shared" si="53"/>
        <v/>
      </c>
      <c r="AL104" t="str">
        <f t="shared" si="54"/>
        <v/>
      </c>
      <c r="AM104" t="str">
        <f t="shared" si="55"/>
        <v>Step 7</v>
      </c>
      <c r="AN104" t="str">
        <f t="shared" si="30"/>
        <v/>
      </c>
      <c r="AO104" t="str">
        <f t="shared" si="31"/>
        <v/>
      </c>
      <c r="AQ104" t="str">
        <f t="shared" si="32"/>
        <v>Step 1</v>
      </c>
      <c r="AR104" t="str">
        <f t="shared" si="33"/>
        <v/>
      </c>
      <c r="AS104" t="str">
        <f t="shared" si="34"/>
        <v/>
      </c>
      <c r="AT104" t="str">
        <f t="shared" si="35"/>
        <v/>
      </c>
      <c r="AU104" t="str">
        <f t="shared" si="36"/>
        <v/>
      </c>
      <c r="AV104" t="str">
        <f t="shared" si="37"/>
        <v/>
      </c>
      <c r="AW104" t="str">
        <f t="shared" si="38"/>
        <v/>
      </c>
      <c r="AX104" t="str">
        <f t="shared" si="39"/>
        <v/>
      </c>
      <c r="AY104" t="str">
        <f t="shared" si="40"/>
        <v/>
      </c>
    </row>
    <row r="105" spans="1:51" x14ac:dyDescent="0.3">
      <c r="A105" s="16" t="s">
        <v>157</v>
      </c>
      <c r="B105" s="16" t="s">
        <v>221</v>
      </c>
      <c r="C105" s="16" t="s">
        <v>223</v>
      </c>
      <c r="D105" s="16" t="s">
        <v>221</v>
      </c>
      <c r="W105" t="str">
        <f t="shared" si="41"/>
        <v>Step 1</v>
      </c>
      <c r="X105" t="str">
        <f t="shared" si="42"/>
        <v/>
      </c>
      <c r="Y105" t="str">
        <f t="shared" si="43"/>
        <v/>
      </c>
      <c r="Z105" t="str">
        <f t="shared" si="44"/>
        <v/>
      </c>
      <c r="AA105" t="str">
        <f t="shared" si="45"/>
        <v/>
      </c>
      <c r="AB105" t="str">
        <f t="shared" si="46"/>
        <v/>
      </c>
      <c r="AC105" t="str">
        <f t="shared" si="47"/>
        <v/>
      </c>
      <c r="AD105" t="str">
        <f t="shared" si="48"/>
        <v/>
      </c>
      <c r="AE105" t="str">
        <f t="shared" si="29"/>
        <v/>
      </c>
      <c r="AG105" t="e">
        <f t="shared" si="49"/>
        <v>#N/A</v>
      </c>
      <c r="AH105" t="str">
        <f t="shared" si="50"/>
        <v/>
      </c>
      <c r="AI105" t="str">
        <f t="shared" si="51"/>
        <v>Step 3</v>
      </c>
      <c r="AJ105" t="str">
        <f t="shared" si="52"/>
        <v/>
      </c>
      <c r="AK105" t="str">
        <f t="shared" si="53"/>
        <v/>
      </c>
      <c r="AL105" t="str">
        <f t="shared" si="54"/>
        <v/>
      </c>
      <c r="AM105" t="str">
        <f t="shared" si="55"/>
        <v/>
      </c>
      <c r="AN105" t="str">
        <f t="shared" si="30"/>
        <v/>
      </c>
      <c r="AO105" t="str">
        <f t="shared" si="31"/>
        <v/>
      </c>
      <c r="AQ105" t="str">
        <f t="shared" si="32"/>
        <v>Step 1</v>
      </c>
      <c r="AR105" t="str">
        <f t="shared" si="33"/>
        <v/>
      </c>
      <c r="AS105" t="str">
        <f t="shared" si="34"/>
        <v/>
      </c>
      <c r="AT105" t="str">
        <f t="shared" si="35"/>
        <v/>
      </c>
      <c r="AU105" t="str">
        <f t="shared" si="36"/>
        <v/>
      </c>
      <c r="AV105" t="str">
        <f t="shared" si="37"/>
        <v/>
      </c>
      <c r="AW105" t="str">
        <f t="shared" si="38"/>
        <v/>
      </c>
      <c r="AX105" t="str">
        <f t="shared" si="39"/>
        <v/>
      </c>
      <c r="AY105" t="str">
        <f t="shared" si="40"/>
        <v/>
      </c>
    </row>
    <row r="106" spans="1:51" x14ac:dyDescent="0.3">
      <c r="A106" s="16" t="s">
        <v>158</v>
      </c>
      <c r="B106" s="16" t="s">
        <v>229</v>
      </c>
      <c r="C106" s="16" t="s">
        <v>228</v>
      </c>
      <c r="D106" s="16" t="s">
        <v>226</v>
      </c>
      <c r="W106" t="e">
        <f t="shared" si="41"/>
        <v>#N/A</v>
      </c>
      <c r="X106" t="str">
        <f t="shared" si="42"/>
        <v/>
      </c>
      <c r="Y106" t="str">
        <f t="shared" si="43"/>
        <v/>
      </c>
      <c r="Z106" t="str">
        <f t="shared" si="44"/>
        <v/>
      </c>
      <c r="AA106" t="str">
        <f t="shared" si="45"/>
        <v/>
      </c>
      <c r="AB106" t="str">
        <f t="shared" si="46"/>
        <v/>
      </c>
      <c r="AC106" t="str">
        <f t="shared" si="47"/>
        <v/>
      </c>
      <c r="AD106" t="str">
        <f t="shared" si="48"/>
        <v/>
      </c>
      <c r="AE106" t="str">
        <f t="shared" si="29"/>
        <v>Step 9</v>
      </c>
      <c r="AG106" t="e">
        <f t="shared" si="49"/>
        <v>#N/A</v>
      </c>
      <c r="AH106" t="str">
        <f t="shared" si="50"/>
        <v/>
      </c>
      <c r="AI106" t="str">
        <f t="shared" si="51"/>
        <v/>
      </c>
      <c r="AJ106" t="str">
        <f t="shared" si="52"/>
        <v/>
      </c>
      <c r="AK106" t="str">
        <f t="shared" si="53"/>
        <v/>
      </c>
      <c r="AL106" t="str">
        <f t="shared" si="54"/>
        <v/>
      </c>
      <c r="AM106" t="str">
        <f t="shared" si="55"/>
        <v/>
      </c>
      <c r="AN106" t="str">
        <f t="shared" si="30"/>
        <v>Step 8</v>
      </c>
      <c r="AO106" t="str">
        <f t="shared" si="31"/>
        <v/>
      </c>
      <c r="AQ106" t="e">
        <f t="shared" si="32"/>
        <v>#N/A</v>
      </c>
      <c r="AR106" t="str">
        <f t="shared" si="33"/>
        <v/>
      </c>
      <c r="AS106" t="str">
        <f t="shared" si="34"/>
        <v/>
      </c>
      <c r="AT106" t="str">
        <f t="shared" si="35"/>
        <v/>
      </c>
      <c r="AU106" t="str">
        <f t="shared" si="36"/>
        <v/>
      </c>
      <c r="AV106" t="str">
        <f t="shared" si="37"/>
        <v>Step 6</v>
      </c>
      <c r="AW106" t="str">
        <f t="shared" si="38"/>
        <v/>
      </c>
      <c r="AX106" t="str">
        <f t="shared" si="39"/>
        <v/>
      </c>
      <c r="AY106" t="str">
        <f t="shared" si="40"/>
        <v/>
      </c>
    </row>
    <row r="107" spans="1:51" x14ac:dyDescent="0.3">
      <c r="A107" s="16" t="s">
        <v>159</v>
      </c>
      <c r="B107" s="16" t="s">
        <v>226</v>
      </c>
      <c r="C107" s="16" t="s">
        <v>224</v>
      </c>
      <c r="D107" s="16" t="s">
        <v>222</v>
      </c>
      <c r="W107" t="e">
        <f t="shared" si="41"/>
        <v>#N/A</v>
      </c>
      <c r="X107" t="str">
        <f t="shared" si="42"/>
        <v/>
      </c>
      <c r="Y107" t="str">
        <f t="shared" si="43"/>
        <v/>
      </c>
      <c r="Z107" t="str">
        <f t="shared" si="44"/>
        <v/>
      </c>
      <c r="AA107" t="str">
        <f t="shared" si="45"/>
        <v/>
      </c>
      <c r="AB107" t="str">
        <f t="shared" si="46"/>
        <v>Step 6</v>
      </c>
      <c r="AC107" t="str">
        <f t="shared" si="47"/>
        <v/>
      </c>
      <c r="AD107" t="str">
        <f t="shared" si="48"/>
        <v/>
      </c>
      <c r="AE107" t="str">
        <f t="shared" si="29"/>
        <v/>
      </c>
      <c r="AG107" t="e">
        <f t="shared" si="49"/>
        <v>#N/A</v>
      </c>
      <c r="AH107" t="str">
        <f t="shared" si="50"/>
        <v/>
      </c>
      <c r="AI107" t="str">
        <f t="shared" si="51"/>
        <v/>
      </c>
      <c r="AJ107" t="str">
        <f t="shared" si="52"/>
        <v>Step 4</v>
      </c>
      <c r="AK107" t="str">
        <f t="shared" si="53"/>
        <v/>
      </c>
      <c r="AL107" t="str">
        <f t="shared" si="54"/>
        <v/>
      </c>
      <c r="AM107" t="str">
        <f t="shared" si="55"/>
        <v/>
      </c>
      <c r="AN107" t="str">
        <f t="shared" si="30"/>
        <v/>
      </c>
      <c r="AO107" t="str">
        <f t="shared" si="31"/>
        <v/>
      </c>
      <c r="AQ107" t="e">
        <f t="shared" si="32"/>
        <v>#N/A</v>
      </c>
      <c r="AR107" t="str">
        <f t="shared" si="33"/>
        <v>Step 2</v>
      </c>
      <c r="AS107" t="str">
        <f t="shared" si="34"/>
        <v/>
      </c>
      <c r="AT107" t="str">
        <f t="shared" si="35"/>
        <v/>
      </c>
      <c r="AU107" t="str">
        <f t="shared" si="36"/>
        <v/>
      </c>
      <c r="AV107" t="str">
        <f t="shared" si="37"/>
        <v/>
      </c>
      <c r="AW107" t="str">
        <f t="shared" si="38"/>
        <v/>
      </c>
      <c r="AX107" t="str">
        <f t="shared" si="39"/>
        <v/>
      </c>
      <c r="AY107" t="str">
        <f t="shared" si="40"/>
        <v/>
      </c>
    </row>
    <row r="108" spans="1:51" x14ac:dyDescent="0.3">
      <c r="A108" s="16" t="s">
        <v>160</v>
      </c>
      <c r="B108" s="16" t="s">
        <v>228</v>
      </c>
      <c r="C108" s="16" t="s">
        <v>224</v>
      </c>
      <c r="D108" s="16" t="s">
        <v>221</v>
      </c>
      <c r="W108" t="e">
        <f t="shared" si="41"/>
        <v>#N/A</v>
      </c>
      <c r="X108" t="str">
        <f t="shared" si="42"/>
        <v/>
      </c>
      <c r="Y108" t="str">
        <f t="shared" si="43"/>
        <v/>
      </c>
      <c r="Z108" t="str">
        <f t="shared" si="44"/>
        <v/>
      </c>
      <c r="AA108" t="str">
        <f t="shared" si="45"/>
        <v/>
      </c>
      <c r="AB108" t="str">
        <f t="shared" si="46"/>
        <v/>
      </c>
      <c r="AC108" t="str">
        <f t="shared" si="47"/>
        <v/>
      </c>
      <c r="AD108" t="str">
        <f t="shared" si="48"/>
        <v>Step 8</v>
      </c>
      <c r="AE108" t="str">
        <f t="shared" si="29"/>
        <v/>
      </c>
      <c r="AG108" t="e">
        <f t="shared" si="49"/>
        <v>#N/A</v>
      </c>
      <c r="AH108" t="str">
        <f t="shared" si="50"/>
        <v/>
      </c>
      <c r="AI108" t="str">
        <f t="shared" si="51"/>
        <v/>
      </c>
      <c r="AJ108" t="str">
        <f t="shared" si="52"/>
        <v>Step 4</v>
      </c>
      <c r="AK108" t="str">
        <f t="shared" si="53"/>
        <v/>
      </c>
      <c r="AL108" t="str">
        <f t="shared" si="54"/>
        <v/>
      </c>
      <c r="AM108" t="str">
        <f t="shared" si="55"/>
        <v/>
      </c>
      <c r="AN108" t="str">
        <f t="shared" si="30"/>
        <v/>
      </c>
      <c r="AO108" t="str">
        <f t="shared" si="31"/>
        <v/>
      </c>
      <c r="AQ108" t="str">
        <f t="shared" si="32"/>
        <v>Step 1</v>
      </c>
      <c r="AR108" t="str">
        <f t="shared" si="33"/>
        <v/>
      </c>
      <c r="AS108" t="str">
        <f t="shared" si="34"/>
        <v/>
      </c>
      <c r="AT108" t="str">
        <f t="shared" si="35"/>
        <v/>
      </c>
      <c r="AU108" t="str">
        <f t="shared" si="36"/>
        <v/>
      </c>
      <c r="AV108" t="str">
        <f t="shared" si="37"/>
        <v/>
      </c>
      <c r="AW108" t="str">
        <f t="shared" si="38"/>
        <v/>
      </c>
      <c r="AX108" t="str">
        <f t="shared" si="39"/>
        <v/>
      </c>
      <c r="AY108" t="str">
        <f t="shared" si="40"/>
        <v/>
      </c>
    </row>
    <row r="109" spans="1:51" x14ac:dyDescent="0.3">
      <c r="A109" s="16" t="s">
        <v>161</v>
      </c>
      <c r="B109" s="16" t="s">
        <v>222</v>
      </c>
      <c r="C109" s="16" t="s">
        <v>225</v>
      </c>
      <c r="D109" s="16" t="s">
        <v>222</v>
      </c>
      <c r="W109" t="e">
        <f t="shared" si="41"/>
        <v>#N/A</v>
      </c>
      <c r="X109" t="str">
        <f t="shared" si="42"/>
        <v>Step 2</v>
      </c>
      <c r="Y109" t="str">
        <f t="shared" si="43"/>
        <v/>
      </c>
      <c r="Z109" t="str">
        <f t="shared" si="44"/>
        <v/>
      </c>
      <c r="AA109" t="str">
        <f t="shared" si="45"/>
        <v/>
      </c>
      <c r="AB109" t="str">
        <f t="shared" si="46"/>
        <v/>
      </c>
      <c r="AC109" t="str">
        <f t="shared" si="47"/>
        <v/>
      </c>
      <c r="AD109" t="str">
        <f t="shared" si="48"/>
        <v/>
      </c>
      <c r="AE109" t="str">
        <f t="shared" si="29"/>
        <v/>
      </c>
      <c r="AG109" t="e">
        <f t="shared" si="49"/>
        <v>#N/A</v>
      </c>
      <c r="AH109" t="str">
        <f t="shared" si="50"/>
        <v/>
      </c>
      <c r="AI109" t="str">
        <f t="shared" si="51"/>
        <v/>
      </c>
      <c r="AJ109" t="str">
        <f t="shared" si="52"/>
        <v/>
      </c>
      <c r="AK109" t="str">
        <f t="shared" si="53"/>
        <v>Step 5</v>
      </c>
      <c r="AL109" t="str">
        <f t="shared" si="54"/>
        <v/>
      </c>
      <c r="AM109" t="str">
        <f t="shared" si="55"/>
        <v/>
      </c>
      <c r="AN109" t="str">
        <f t="shared" si="30"/>
        <v/>
      </c>
      <c r="AO109" t="str">
        <f t="shared" si="31"/>
        <v/>
      </c>
      <c r="AQ109" t="e">
        <f t="shared" si="32"/>
        <v>#N/A</v>
      </c>
      <c r="AR109" t="str">
        <f t="shared" si="33"/>
        <v>Step 2</v>
      </c>
      <c r="AS109" t="str">
        <f t="shared" si="34"/>
        <v/>
      </c>
      <c r="AT109" t="str">
        <f t="shared" si="35"/>
        <v/>
      </c>
      <c r="AU109" t="str">
        <f t="shared" si="36"/>
        <v/>
      </c>
      <c r="AV109" t="str">
        <f t="shared" si="37"/>
        <v/>
      </c>
      <c r="AW109" t="str">
        <f t="shared" si="38"/>
        <v/>
      </c>
      <c r="AX109" t="str">
        <f t="shared" si="39"/>
        <v/>
      </c>
      <c r="AY109" t="str">
        <f t="shared" si="40"/>
        <v/>
      </c>
    </row>
    <row r="110" spans="1:51" x14ac:dyDescent="0.3">
      <c r="A110" s="16" t="s">
        <v>162</v>
      </c>
      <c r="B110" s="16" t="s">
        <v>228</v>
      </c>
      <c r="C110" s="16" t="s">
        <v>226</v>
      </c>
      <c r="D110" s="16" t="s">
        <v>226</v>
      </c>
      <c r="W110" t="e">
        <f t="shared" si="41"/>
        <v>#N/A</v>
      </c>
      <c r="X110" t="str">
        <f t="shared" si="42"/>
        <v/>
      </c>
      <c r="Y110" t="str">
        <f t="shared" si="43"/>
        <v/>
      </c>
      <c r="Z110" t="str">
        <f t="shared" si="44"/>
        <v/>
      </c>
      <c r="AA110" t="str">
        <f t="shared" si="45"/>
        <v/>
      </c>
      <c r="AB110" t="str">
        <f t="shared" si="46"/>
        <v/>
      </c>
      <c r="AC110" t="str">
        <f t="shared" si="47"/>
        <v/>
      </c>
      <c r="AD110" t="str">
        <f t="shared" si="48"/>
        <v>Step 8</v>
      </c>
      <c r="AE110" t="str">
        <f t="shared" si="29"/>
        <v/>
      </c>
      <c r="AG110" t="e">
        <f t="shared" si="49"/>
        <v>#N/A</v>
      </c>
      <c r="AH110" t="str">
        <f t="shared" si="50"/>
        <v/>
      </c>
      <c r="AI110" t="str">
        <f t="shared" si="51"/>
        <v/>
      </c>
      <c r="AJ110" t="str">
        <f t="shared" si="52"/>
        <v/>
      </c>
      <c r="AK110" t="str">
        <f t="shared" si="53"/>
        <v/>
      </c>
      <c r="AL110" t="str">
        <f t="shared" si="54"/>
        <v>Step 6</v>
      </c>
      <c r="AM110" t="str">
        <f t="shared" si="55"/>
        <v/>
      </c>
      <c r="AN110" t="str">
        <f t="shared" si="30"/>
        <v/>
      </c>
      <c r="AO110" t="str">
        <f t="shared" si="31"/>
        <v/>
      </c>
      <c r="AQ110" t="e">
        <f t="shared" si="32"/>
        <v>#N/A</v>
      </c>
      <c r="AR110" t="str">
        <f t="shared" si="33"/>
        <v/>
      </c>
      <c r="AS110" t="str">
        <f t="shared" si="34"/>
        <v/>
      </c>
      <c r="AT110" t="str">
        <f t="shared" si="35"/>
        <v/>
      </c>
      <c r="AU110" t="str">
        <f t="shared" si="36"/>
        <v/>
      </c>
      <c r="AV110" t="str">
        <f t="shared" si="37"/>
        <v>Step 6</v>
      </c>
      <c r="AW110" t="str">
        <f t="shared" si="38"/>
        <v/>
      </c>
      <c r="AX110" t="str">
        <f t="shared" si="39"/>
        <v/>
      </c>
      <c r="AY110" t="str">
        <f t="shared" si="40"/>
        <v/>
      </c>
    </row>
    <row r="111" spans="1:51" x14ac:dyDescent="0.3">
      <c r="A111" s="16" t="s">
        <v>163</v>
      </c>
      <c r="B111" s="16" t="s">
        <v>228</v>
      </c>
      <c r="C111" s="16" t="s">
        <v>224</v>
      </c>
      <c r="D111" s="16" t="s">
        <v>226</v>
      </c>
      <c r="W111" t="e">
        <f t="shared" si="41"/>
        <v>#N/A</v>
      </c>
      <c r="X111" t="str">
        <f t="shared" si="42"/>
        <v/>
      </c>
      <c r="Y111" t="str">
        <f t="shared" si="43"/>
        <v/>
      </c>
      <c r="Z111" t="str">
        <f t="shared" si="44"/>
        <v/>
      </c>
      <c r="AA111" t="str">
        <f t="shared" si="45"/>
        <v/>
      </c>
      <c r="AB111" t="str">
        <f t="shared" si="46"/>
        <v/>
      </c>
      <c r="AC111" t="str">
        <f t="shared" si="47"/>
        <v/>
      </c>
      <c r="AD111" t="str">
        <f t="shared" si="48"/>
        <v>Step 8</v>
      </c>
      <c r="AE111" t="str">
        <f t="shared" si="29"/>
        <v/>
      </c>
      <c r="AG111" t="e">
        <f t="shared" si="49"/>
        <v>#N/A</v>
      </c>
      <c r="AH111" t="str">
        <f t="shared" si="50"/>
        <v/>
      </c>
      <c r="AI111" t="str">
        <f t="shared" si="51"/>
        <v/>
      </c>
      <c r="AJ111" t="str">
        <f t="shared" si="52"/>
        <v>Step 4</v>
      </c>
      <c r="AK111" t="str">
        <f t="shared" si="53"/>
        <v/>
      </c>
      <c r="AL111" t="str">
        <f t="shared" si="54"/>
        <v/>
      </c>
      <c r="AM111" t="str">
        <f t="shared" si="55"/>
        <v/>
      </c>
      <c r="AN111" t="str">
        <f t="shared" si="30"/>
        <v/>
      </c>
      <c r="AO111" t="str">
        <f t="shared" si="31"/>
        <v/>
      </c>
      <c r="AQ111" t="e">
        <f t="shared" si="32"/>
        <v>#N/A</v>
      </c>
      <c r="AR111" t="str">
        <f t="shared" si="33"/>
        <v/>
      </c>
      <c r="AS111" t="str">
        <f t="shared" si="34"/>
        <v/>
      </c>
      <c r="AT111" t="str">
        <f t="shared" si="35"/>
        <v/>
      </c>
      <c r="AU111" t="str">
        <f t="shared" si="36"/>
        <v/>
      </c>
      <c r="AV111" t="str">
        <f t="shared" si="37"/>
        <v>Step 6</v>
      </c>
      <c r="AW111" t="str">
        <f t="shared" si="38"/>
        <v/>
      </c>
      <c r="AX111" t="str">
        <f t="shared" si="39"/>
        <v/>
      </c>
      <c r="AY111" t="str">
        <f t="shared" si="40"/>
        <v/>
      </c>
    </row>
    <row r="112" spans="1:51" x14ac:dyDescent="0.3">
      <c r="A112" s="16" t="s">
        <v>164</v>
      </c>
      <c r="B112" s="16" t="s">
        <v>227</v>
      </c>
      <c r="C112" s="16" t="s">
        <v>223</v>
      </c>
      <c r="D112" s="16" t="s">
        <v>227</v>
      </c>
      <c r="W112" t="e">
        <f t="shared" si="41"/>
        <v>#N/A</v>
      </c>
      <c r="X112" t="str">
        <f t="shared" si="42"/>
        <v/>
      </c>
      <c r="Y112" t="str">
        <f t="shared" si="43"/>
        <v/>
      </c>
      <c r="Z112" t="str">
        <f t="shared" si="44"/>
        <v/>
      </c>
      <c r="AA112" t="str">
        <f t="shared" si="45"/>
        <v/>
      </c>
      <c r="AB112" t="str">
        <f t="shared" si="46"/>
        <v/>
      </c>
      <c r="AC112" t="str">
        <f t="shared" si="47"/>
        <v>Step 7</v>
      </c>
      <c r="AD112" t="str">
        <f t="shared" si="48"/>
        <v/>
      </c>
      <c r="AE112" t="str">
        <f t="shared" si="29"/>
        <v/>
      </c>
      <c r="AG112" t="e">
        <f t="shared" si="49"/>
        <v>#N/A</v>
      </c>
      <c r="AH112" t="str">
        <f t="shared" si="50"/>
        <v/>
      </c>
      <c r="AI112" t="str">
        <f t="shared" si="51"/>
        <v>Step 3</v>
      </c>
      <c r="AJ112" t="str">
        <f t="shared" si="52"/>
        <v/>
      </c>
      <c r="AK112" t="str">
        <f t="shared" si="53"/>
        <v/>
      </c>
      <c r="AL112" t="str">
        <f t="shared" si="54"/>
        <v/>
      </c>
      <c r="AM112" t="str">
        <f t="shared" si="55"/>
        <v/>
      </c>
      <c r="AN112" t="str">
        <f t="shared" si="30"/>
        <v/>
      </c>
      <c r="AO112" t="str">
        <f t="shared" si="31"/>
        <v/>
      </c>
      <c r="AQ112" t="e">
        <f t="shared" si="32"/>
        <v>#N/A</v>
      </c>
      <c r="AR112" t="str">
        <f t="shared" si="33"/>
        <v/>
      </c>
      <c r="AS112" t="str">
        <f t="shared" si="34"/>
        <v/>
      </c>
      <c r="AT112" t="str">
        <f t="shared" si="35"/>
        <v/>
      </c>
      <c r="AU112" t="str">
        <f t="shared" si="36"/>
        <v/>
      </c>
      <c r="AV112" t="str">
        <f t="shared" si="37"/>
        <v/>
      </c>
      <c r="AW112" t="str">
        <f t="shared" si="38"/>
        <v>Step 7</v>
      </c>
      <c r="AX112" t="str">
        <f t="shared" si="39"/>
        <v/>
      </c>
      <c r="AY112" t="str">
        <f t="shared" si="40"/>
        <v/>
      </c>
    </row>
    <row r="113" spans="1:51" x14ac:dyDescent="0.3">
      <c r="A113" s="16" t="s">
        <v>165</v>
      </c>
      <c r="B113" s="16" t="s">
        <v>228</v>
      </c>
      <c r="C113" s="16" t="s">
        <v>225</v>
      </c>
      <c r="D113" s="16" t="s">
        <v>227</v>
      </c>
      <c r="W113" t="e">
        <f t="shared" si="41"/>
        <v>#N/A</v>
      </c>
      <c r="X113" t="str">
        <f t="shared" si="42"/>
        <v/>
      </c>
      <c r="Y113" t="str">
        <f t="shared" si="43"/>
        <v/>
      </c>
      <c r="Z113" t="str">
        <f t="shared" si="44"/>
        <v/>
      </c>
      <c r="AA113" t="str">
        <f t="shared" si="45"/>
        <v/>
      </c>
      <c r="AB113" t="str">
        <f t="shared" si="46"/>
        <v/>
      </c>
      <c r="AC113" t="str">
        <f t="shared" si="47"/>
        <v/>
      </c>
      <c r="AD113" t="str">
        <f t="shared" si="48"/>
        <v>Step 8</v>
      </c>
      <c r="AE113" t="str">
        <f t="shared" si="29"/>
        <v/>
      </c>
      <c r="AG113" t="e">
        <f t="shared" si="49"/>
        <v>#N/A</v>
      </c>
      <c r="AH113" t="str">
        <f t="shared" si="50"/>
        <v/>
      </c>
      <c r="AI113" t="str">
        <f t="shared" si="51"/>
        <v/>
      </c>
      <c r="AJ113" t="str">
        <f t="shared" si="52"/>
        <v/>
      </c>
      <c r="AK113" t="str">
        <f t="shared" si="53"/>
        <v>Step 5</v>
      </c>
      <c r="AL113" t="str">
        <f t="shared" si="54"/>
        <v/>
      </c>
      <c r="AM113" t="str">
        <f t="shared" si="55"/>
        <v/>
      </c>
      <c r="AN113" t="str">
        <f t="shared" si="30"/>
        <v/>
      </c>
      <c r="AO113" t="str">
        <f t="shared" si="31"/>
        <v/>
      </c>
      <c r="AQ113" t="e">
        <f t="shared" si="32"/>
        <v>#N/A</v>
      </c>
      <c r="AR113" t="str">
        <f t="shared" si="33"/>
        <v/>
      </c>
      <c r="AS113" t="str">
        <f t="shared" si="34"/>
        <v/>
      </c>
      <c r="AT113" t="str">
        <f t="shared" si="35"/>
        <v/>
      </c>
      <c r="AU113" t="str">
        <f t="shared" si="36"/>
        <v/>
      </c>
      <c r="AV113" t="str">
        <f t="shared" si="37"/>
        <v/>
      </c>
      <c r="AW113" t="str">
        <f t="shared" si="38"/>
        <v>Step 7</v>
      </c>
      <c r="AX113" t="str">
        <f t="shared" si="39"/>
        <v/>
      </c>
      <c r="AY113" t="str">
        <f t="shared" si="40"/>
        <v/>
      </c>
    </row>
    <row r="114" spans="1:51" x14ac:dyDescent="0.3">
      <c r="A114" s="16" t="s">
        <v>166</v>
      </c>
      <c r="B114" s="16" t="s">
        <v>222</v>
      </c>
      <c r="C114" s="16" t="s">
        <v>223</v>
      </c>
      <c r="D114" s="16" t="s">
        <v>229</v>
      </c>
      <c r="W114" t="e">
        <f t="shared" si="41"/>
        <v>#N/A</v>
      </c>
      <c r="X114" t="str">
        <f t="shared" si="42"/>
        <v>Step 2</v>
      </c>
      <c r="Y114" t="str">
        <f t="shared" si="43"/>
        <v/>
      </c>
      <c r="Z114" t="str">
        <f t="shared" si="44"/>
        <v/>
      </c>
      <c r="AA114" t="str">
        <f t="shared" si="45"/>
        <v/>
      </c>
      <c r="AB114" t="str">
        <f t="shared" si="46"/>
        <v/>
      </c>
      <c r="AC114" t="str">
        <f t="shared" si="47"/>
        <v/>
      </c>
      <c r="AD114" t="str">
        <f t="shared" si="48"/>
        <v/>
      </c>
      <c r="AE114" t="str">
        <f t="shared" si="29"/>
        <v/>
      </c>
      <c r="AG114" t="e">
        <f t="shared" si="49"/>
        <v>#N/A</v>
      </c>
      <c r="AH114" t="str">
        <f t="shared" si="50"/>
        <v/>
      </c>
      <c r="AI114" t="str">
        <f t="shared" si="51"/>
        <v>Step 3</v>
      </c>
      <c r="AJ114" t="str">
        <f t="shared" si="52"/>
        <v/>
      </c>
      <c r="AK114" t="str">
        <f t="shared" si="53"/>
        <v/>
      </c>
      <c r="AL114" t="str">
        <f t="shared" si="54"/>
        <v/>
      </c>
      <c r="AM114" t="str">
        <f t="shared" si="55"/>
        <v/>
      </c>
      <c r="AN114" t="str">
        <f t="shared" si="30"/>
        <v/>
      </c>
      <c r="AO114" t="str">
        <f t="shared" si="31"/>
        <v/>
      </c>
      <c r="AQ114" t="e">
        <f t="shared" si="32"/>
        <v>#N/A</v>
      </c>
      <c r="AR114" t="str">
        <f t="shared" si="33"/>
        <v/>
      </c>
      <c r="AS114" t="str">
        <f t="shared" si="34"/>
        <v/>
      </c>
      <c r="AT114" t="str">
        <f t="shared" si="35"/>
        <v/>
      </c>
      <c r="AU114" t="str">
        <f t="shared" si="36"/>
        <v/>
      </c>
      <c r="AV114" t="str">
        <f t="shared" si="37"/>
        <v/>
      </c>
      <c r="AW114" t="str">
        <f t="shared" si="38"/>
        <v/>
      </c>
      <c r="AX114" t="str">
        <f t="shared" si="39"/>
        <v/>
      </c>
      <c r="AY114" t="str">
        <f t="shared" si="40"/>
        <v>Step 9</v>
      </c>
    </row>
    <row r="115" spans="1:51" x14ac:dyDescent="0.3">
      <c r="A115" s="16" t="s">
        <v>167</v>
      </c>
      <c r="B115" s="16" t="s">
        <v>229</v>
      </c>
      <c r="C115" s="16" t="s">
        <v>224</v>
      </c>
      <c r="D115" s="16" t="s">
        <v>226</v>
      </c>
      <c r="W115" t="e">
        <f t="shared" si="41"/>
        <v>#N/A</v>
      </c>
      <c r="X115" t="str">
        <f t="shared" si="42"/>
        <v/>
      </c>
      <c r="Y115" t="str">
        <f t="shared" si="43"/>
        <v/>
      </c>
      <c r="Z115" t="str">
        <f t="shared" si="44"/>
        <v/>
      </c>
      <c r="AA115" t="str">
        <f t="shared" si="45"/>
        <v/>
      </c>
      <c r="AB115" t="str">
        <f t="shared" si="46"/>
        <v/>
      </c>
      <c r="AC115" t="str">
        <f t="shared" si="47"/>
        <v/>
      </c>
      <c r="AD115" t="str">
        <f t="shared" si="48"/>
        <v/>
      </c>
      <c r="AE115" t="str">
        <f t="shared" si="29"/>
        <v>Step 9</v>
      </c>
      <c r="AG115" t="e">
        <f t="shared" si="49"/>
        <v>#N/A</v>
      </c>
      <c r="AH115" t="str">
        <f t="shared" si="50"/>
        <v/>
      </c>
      <c r="AI115" t="str">
        <f t="shared" si="51"/>
        <v/>
      </c>
      <c r="AJ115" t="str">
        <f t="shared" si="52"/>
        <v>Step 4</v>
      </c>
      <c r="AK115" t="str">
        <f t="shared" si="53"/>
        <v/>
      </c>
      <c r="AL115" t="str">
        <f t="shared" si="54"/>
        <v/>
      </c>
      <c r="AM115" t="str">
        <f t="shared" si="55"/>
        <v/>
      </c>
      <c r="AN115" t="str">
        <f t="shared" si="30"/>
        <v/>
      </c>
      <c r="AO115" t="str">
        <f t="shared" si="31"/>
        <v/>
      </c>
      <c r="AQ115" t="e">
        <f t="shared" si="32"/>
        <v>#N/A</v>
      </c>
      <c r="AR115" t="str">
        <f t="shared" si="33"/>
        <v/>
      </c>
      <c r="AS115" t="str">
        <f t="shared" si="34"/>
        <v/>
      </c>
      <c r="AT115" t="str">
        <f t="shared" si="35"/>
        <v/>
      </c>
      <c r="AU115" t="str">
        <f t="shared" si="36"/>
        <v/>
      </c>
      <c r="AV115" t="str">
        <f t="shared" si="37"/>
        <v>Step 6</v>
      </c>
      <c r="AW115" t="str">
        <f t="shared" si="38"/>
        <v/>
      </c>
      <c r="AX115" t="str">
        <f t="shared" si="39"/>
        <v/>
      </c>
      <c r="AY115" t="str">
        <f t="shared" si="40"/>
        <v/>
      </c>
    </row>
    <row r="116" spans="1:51" x14ac:dyDescent="0.3">
      <c r="A116" s="16" t="s">
        <v>168</v>
      </c>
      <c r="B116" s="16" t="s">
        <v>224</v>
      </c>
      <c r="C116" s="16" t="s">
        <v>223</v>
      </c>
      <c r="D116" s="16" t="s">
        <v>225</v>
      </c>
      <c r="W116" t="e">
        <f t="shared" si="41"/>
        <v>#N/A</v>
      </c>
      <c r="X116" t="str">
        <f t="shared" si="42"/>
        <v/>
      </c>
      <c r="Y116" t="str">
        <f t="shared" si="43"/>
        <v/>
      </c>
      <c r="Z116" t="str">
        <f t="shared" si="44"/>
        <v>Step 4</v>
      </c>
      <c r="AA116" t="str">
        <f t="shared" si="45"/>
        <v/>
      </c>
      <c r="AB116" t="str">
        <f t="shared" si="46"/>
        <v/>
      </c>
      <c r="AC116" t="str">
        <f t="shared" si="47"/>
        <v/>
      </c>
      <c r="AD116" t="str">
        <f t="shared" si="48"/>
        <v/>
      </c>
      <c r="AE116" t="str">
        <f t="shared" si="29"/>
        <v/>
      </c>
      <c r="AG116" t="e">
        <f t="shared" si="49"/>
        <v>#N/A</v>
      </c>
      <c r="AH116" t="str">
        <f t="shared" si="50"/>
        <v/>
      </c>
      <c r="AI116" t="str">
        <f t="shared" si="51"/>
        <v>Step 3</v>
      </c>
      <c r="AJ116" t="str">
        <f t="shared" si="52"/>
        <v/>
      </c>
      <c r="AK116" t="str">
        <f t="shared" si="53"/>
        <v/>
      </c>
      <c r="AL116" t="str">
        <f t="shared" si="54"/>
        <v/>
      </c>
      <c r="AM116" t="str">
        <f t="shared" si="55"/>
        <v/>
      </c>
      <c r="AN116" t="str">
        <f t="shared" si="30"/>
        <v/>
      </c>
      <c r="AO116" t="str">
        <f t="shared" si="31"/>
        <v/>
      </c>
      <c r="AQ116" t="e">
        <f t="shared" si="32"/>
        <v>#N/A</v>
      </c>
      <c r="AR116" t="str">
        <f t="shared" si="33"/>
        <v/>
      </c>
      <c r="AS116" t="str">
        <f t="shared" si="34"/>
        <v/>
      </c>
      <c r="AT116" t="str">
        <f t="shared" si="35"/>
        <v/>
      </c>
      <c r="AU116" t="str">
        <f t="shared" si="36"/>
        <v>Step 5</v>
      </c>
      <c r="AV116" t="str">
        <f t="shared" si="37"/>
        <v/>
      </c>
      <c r="AW116" t="str">
        <f t="shared" si="38"/>
        <v/>
      </c>
      <c r="AX116" t="str">
        <f t="shared" si="39"/>
        <v/>
      </c>
      <c r="AY116" t="str">
        <f t="shared" si="40"/>
        <v/>
      </c>
    </row>
    <row r="117" spans="1:51" x14ac:dyDescent="0.3">
      <c r="A117" s="16" t="s">
        <v>169</v>
      </c>
      <c r="B117" s="16" t="s">
        <v>227</v>
      </c>
      <c r="C117" s="16" t="s">
        <v>224</v>
      </c>
      <c r="D117" s="16" t="s">
        <v>226</v>
      </c>
      <c r="W117" t="e">
        <f t="shared" si="41"/>
        <v>#N/A</v>
      </c>
      <c r="X117" t="str">
        <f t="shared" si="42"/>
        <v/>
      </c>
      <c r="Y117" t="str">
        <f t="shared" si="43"/>
        <v/>
      </c>
      <c r="Z117" t="str">
        <f t="shared" si="44"/>
        <v/>
      </c>
      <c r="AA117" t="str">
        <f t="shared" si="45"/>
        <v/>
      </c>
      <c r="AB117" t="str">
        <f t="shared" si="46"/>
        <v/>
      </c>
      <c r="AC117" t="str">
        <f t="shared" si="47"/>
        <v>Step 7</v>
      </c>
      <c r="AD117" t="str">
        <f t="shared" si="48"/>
        <v/>
      </c>
      <c r="AE117" t="str">
        <f t="shared" si="29"/>
        <v/>
      </c>
      <c r="AG117" t="e">
        <f t="shared" si="49"/>
        <v>#N/A</v>
      </c>
      <c r="AH117" t="str">
        <f t="shared" si="50"/>
        <v/>
      </c>
      <c r="AI117" t="str">
        <f t="shared" si="51"/>
        <v/>
      </c>
      <c r="AJ117" t="str">
        <f t="shared" si="52"/>
        <v>Step 4</v>
      </c>
      <c r="AK117" t="str">
        <f t="shared" si="53"/>
        <v/>
      </c>
      <c r="AL117" t="str">
        <f t="shared" si="54"/>
        <v/>
      </c>
      <c r="AM117" t="str">
        <f t="shared" si="55"/>
        <v/>
      </c>
      <c r="AN117" t="str">
        <f t="shared" si="30"/>
        <v/>
      </c>
      <c r="AO117" t="str">
        <f t="shared" si="31"/>
        <v/>
      </c>
      <c r="AQ117" t="e">
        <f t="shared" si="32"/>
        <v>#N/A</v>
      </c>
      <c r="AR117" t="str">
        <f t="shared" si="33"/>
        <v/>
      </c>
      <c r="AS117" t="str">
        <f t="shared" si="34"/>
        <v/>
      </c>
      <c r="AT117" t="str">
        <f t="shared" si="35"/>
        <v/>
      </c>
      <c r="AU117" t="str">
        <f t="shared" si="36"/>
        <v/>
      </c>
      <c r="AV117" t="str">
        <f t="shared" si="37"/>
        <v>Step 6</v>
      </c>
      <c r="AW117" t="str">
        <f t="shared" si="38"/>
        <v/>
      </c>
      <c r="AX117" t="str">
        <f t="shared" si="39"/>
        <v/>
      </c>
      <c r="AY117" t="str">
        <f t="shared" si="40"/>
        <v/>
      </c>
    </row>
    <row r="118" spans="1:51" x14ac:dyDescent="0.3">
      <c r="A118" s="16" t="s">
        <v>170</v>
      </c>
      <c r="B118" s="16" t="s">
        <v>224</v>
      </c>
      <c r="C118" s="16" t="s">
        <v>222</v>
      </c>
      <c r="D118" s="16" t="s">
        <v>225</v>
      </c>
      <c r="W118" t="e">
        <f t="shared" si="41"/>
        <v>#N/A</v>
      </c>
      <c r="X118" t="str">
        <f t="shared" si="42"/>
        <v/>
      </c>
      <c r="Y118" t="str">
        <f t="shared" si="43"/>
        <v/>
      </c>
      <c r="Z118" t="str">
        <f t="shared" si="44"/>
        <v>Step 4</v>
      </c>
      <c r="AA118" t="str">
        <f t="shared" si="45"/>
        <v/>
      </c>
      <c r="AB118" t="str">
        <f t="shared" si="46"/>
        <v/>
      </c>
      <c r="AC118" t="str">
        <f t="shared" si="47"/>
        <v/>
      </c>
      <c r="AD118" t="str">
        <f t="shared" si="48"/>
        <v/>
      </c>
      <c r="AE118" t="str">
        <f t="shared" si="29"/>
        <v/>
      </c>
      <c r="AG118" t="e">
        <f t="shared" si="49"/>
        <v>#N/A</v>
      </c>
      <c r="AH118" t="str">
        <f t="shared" si="50"/>
        <v>Step 2</v>
      </c>
      <c r="AI118" t="str">
        <f t="shared" si="51"/>
        <v/>
      </c>
      <c r="AJ118" t="str">
        <f t="shared" si="52"/>
        <v/>
      </c>
      <c r="AK118" t="str">
        <f t="shared" si="53"/>
        <v/>
      </c>
      <c r="AL118" t="str">
        <f t="shared" si="54"/>
        <v/>
      </c>
      <c r="AM118" t="str">
        <f t="shared" si="55"/>
        <v/>
      </c>
      <c r="AN118" t="str">
        <f t="shared" si="30"/>
        <v/>
      </c>
      <c r="AO118" t="str">
        <f t="shared" si="31"/>
        <v/>
      </c>
      <c r="AQ118" t="e">
        <f t="shared" si="32"/>
        <v>#N/A</v>
      </c>
      <c r="AR118" t="str">
        <f t="shared" si="33"/>
        <v/>
      </c>
      <c r="AS118" t="str">
        <f t="shared" si="34"/>
        <v/>
      </c>
      <c r="AT118" t="str">
        <f t="shared" si="35"/>
        <v/>
      </c>
      <c r="AU118" t="str">
        <f t="shared" si="36"/>
        <v>Step 5</v>
      </c>
      <c r="AV118" t="str">
        <f t="shared" si="37"/>
        <v/>
      </c>
      <c r="AW118" t="str">
        <f t="shared" si="38"/>
        <v/>
      </c>
      <c r="AX118" t="str">
        <f t="shared" si="39"/>
        <v/>
      </c>
      <c r="AY118" t="str">
        <f t="shared" si="40"/>
        <v/>
      </c>
    </row>
    <row r="119" spans="1:51" x14ac:dyDescent="0.3">
      <c r="A119" s="16" t="s">
        <v>171</v>
      </c>
      <c r="B119" s="16" t="s">
        <v>223</v>
      </c>
      <c r="C119" s="16" t="s">
        <v>225</v>
      </c>
      <c r="D119" s="16" t="s">
        <v>226</v>
      </c>
      <c r="W119" t="e">
        <f t="shared" si="41"/>
        <v>#N/A</v>
      </c>
      <c r="X119" t="str">
        <f t="shared" si="42"/>
        <v/>
      </c>
      <c r="Y119" t="str">
        <f t="shared" si="43"/>
        <v>Step 3</v>
      </c>
      <c r="Z119" t="str">
        <f t="shared" si="44"/>
        <v/>
      </c>
      <c r="AA119" t="str">
        <f t="shared" si="45"/>
        <v/>
      </c>
      <c r="AB119" t="str">
        <f t="shared" si="46"/>
        <v/>
      </c>
      <c r="AC119" t="str">
        <f t="shared" si="47"/>
        <v/>
      </c>
      <c r="AD119" t="str">
        <f t="shared" si="48"/>
        <v/>
      </c>
      <c r="AE119" t="str">
        <f t="shared" si="29"/>
        <v/>
      </c>
      <c r="AG119" t="e">
        <f t="shared" si="49"/>
        <v>#N/A</v>
      </c>
      <c r="AH119" t="str">
        <f t="shared" si="50"/>
        <v/>
      </c>
      <c r="AI119" t="str">
        <f t="shared" si="51"/>
        <v/>
      </c>
      <c r="AJ119" t="str">
        <f t="shared" si="52"/>
        <v/>
      </c>
      <c r="AK119" t="str">
        <f t="shared" si="53"/>
        <v>Step 5</v>
      </c>
      <c r="AL119" t="str">
        <f t="shared" si="54"/>
        <v/>
      </c>
      <c r="AM119" t="str">
        <f t="shared" si="55"/>
        <v/>
      </c>
      <c r="AN119" t="str">
        <f t="shared" si="30"/>
        <v/>
      </c>
      <c r="AO119" t="str">
        <f t="shared" si="31"/>
        <v/>
      </c>
      <c r="AQ119" t="e">
        <f t="shared" si="32"/>
        <v>#N/A</v>
      </c>
      <c r="AR119" t="str">
        <f t="shared" si="33"/>
        <v/>
      </c>
      <c r="AS119" t="str">
        <f t="shared" si="34"/>
        <v/>
      </c>
      <c r="AT119" t="str">
        <f t="shared" si="35"/>
        <v/>
      </c>
      <c r="AU119" t="str">
        <f t="shared" si="36"/>
        <v/>
      </c>
      <c r="AV119" t="str">
        <f t="shared" si="37"/>
        <v>Step 6</v>
      </c>
      <c r="AW119" t="str">
        <f t="shared" si="38"/>
        <v/>
      </c>
      <c r="AX119" t="str">
        <f t="shared" si="39"/>
        <v/>
      </c>
      <c r="AY119" t="str">
        <f t="shared" si="40"/>
        <v/>
      </c>
    </row>
    <row r="120" spans="1:51" x14ac:dyDescent="0.3">
      <c r="A120" s="16" t="s">
        <v>172</v>
      </c>
      <c r="B120" s="16" t="s">
        <v>225</v>
      </c>
      <c r="C120" s="16" t="s">
        <v>221</v>
      </c>
      <c r="D120" s="16" t="s">
        <v>224</v>
      </c>
      <c r="W120" t="e">
        <f t="shared" si="41"/>
        <v>#N/A</v>
      </c>
      <c r="X120" t="str">
        <f t="shared" si="42"/>
        <v/>
      </c>
      <c r="Y120" t="str">
        <f t="shared" si="43"/>
        <v/>
      </c>
      <c r="Z120" t="str">
        <f t="shared" si="44"/>
        <v/>
      </c>
      <c r="AA120" t="str">
        <f t="shared" si="45"/>
        <v>Step 5</v>
      </c>
      <c r="AB120" t="str">
        <f t="shared" si="46"/>
        <v/>
      </c>
      <c r="AC120" t="str">
        <f t="shared" si="47"/>
        <v/>
      </c>
      <c r="AD120" t="str">
        <f t="shared" si="48"/>
        <v/>
      </c>
      <c r="AE120" t="str">
        <f t="shared" si="29"/>
        <v/>
      </c>
      <c r="AG120" t="str">
        <f t="shared" si="49"/>
        <v>Step 1</v>
      </c>
      <c r="AH120" t="str">
        <f t="shared" si="50"/>
        <v/>
      </c>
      <c r="AI120" t="str">
        <f t="shared" si="51"/>
        <v/>
      </c>
      <c r="AJ120" t="str">
        <f t="shared" si="52"/>
        <v/>
      </c>
      <c r="AK120" t="str">
        <f t="shared" si="53"/>
        <v/>
      </c>
      <c r="AL120" t="str">
        <f t="shared" si="54"/>
        <v/>
      </c>
      <c r="AM120" t="str">
        <f t="shared" si="55"/>
        <v/>
      </c>
      <c r="AN120" t="str">
        <f t="shared" si="30"/>
        <v/>
      </c>
      <c r="AO120" t="str">
        <f t="shared" si="31"/>
        <v/>
      </c>
      <c r="AQ120" t="e">
        <f t="shared" si="32"/>
        <v>#N/A</v>
      </c>
      <c r="AR120" t="str">
        <f t="shared" si="33"/>
        <v/>
      </c>
      <c r="AS120" t="str">
        <f t="shared" si="34"/>
        <v/>
      </c>
      <c r="AT120" t="str">
        <f t="shared" si="35"/>
        <v>Step 4</v>
      </c>
      <c r="AU120" t="str">
        <f t="shared" si="36"/>
        <v/>
      </c>
      <c r="AV120" t="str">
        <f t="shared" si="37"/>
        <v/>
      </c>
      <c r="AW120" t="str">
        <f t="shared" si="38"/>
        <v/>
      </c>
      <c r="AX120" t="str">
        <f t="shared" si="39"/>
        <v/>
      </c>
      <c r="AY120" t="str">
        <f t="shared" si="40"/>
        <v/>
      </c>
    </row>
    <row r="121" spans="1:51" x14ac:dyDescent="0.3">
      <c r="A121" s="16" t="s">
        <v>173</v>
      </c>
      <c r="B121" s="16" t="s">
        <v>222</v>
      </c>
      <c r="C121" s="16" t="s">
        <v>227</v>
      </c>
      <c r="D121" s="16" t="s">
        <v>229</v>
      </c>
      <c r="W121" t="e">
        <f t="shared" si="41"/>
        <v>#N/A</v>
      </c>
      <c r="X121" t="str">
        <f t="shared" si="42"/>
        <v>Step 2</v>
      </c>
      <c r="Y121" t="str">
        <f t="shared" si="43"/>
        <v/>
      </c>
      <c r="Z121" t="str">
        <f t="shared" si="44"/>
        <v/>
      </c>
      <c r="AA121" t="str">
        <f t="shared" si="45"/>
        <v/>
      </c>
      <c r="AB121" t="str">
        <f t="shared" si="46"/>
        <v/>
      </c>
      <c r="AC121" t="str">
        <f t="shared" si="47"/>
        <v/>
      </c>
      <c r="AD121" t="str">
        <f t="shared" si="48"/>
        <v/>
      </c>
      <c r="AE121" t="str">
        <f t="shared" si="29"/>
        <v/>
      </c>
      <c r="AG121" t="e">
        <f t="shared" si="49"/>
        <v>#N/A</v>
      </c>
      <c r="AH121" t="str">
        <f t="shared" si="50"/>
        <v/>
      </c>
      <c r="AI121" t="str">
        <f t="shared" si="51"/>
        <v/>
      </c>
      <c r="AJ121" t="str">
        <f t="shared" si="52"/>
        <v/>
      </c>
      <c r="AK121" t="str">
        <f t="shared" si="53"/>
        <v/>
      </c>
      <c r="AL121" t="str">
        <f t="shared" si="54"/>
        <v/>
      </c>
      <c r="AM121" t="str">
        <f t="shared" si="55"/>
        <v>Step 7</v>
      </c>
      <c r="AN121" t="str">
        <f t="shared" si="30"/>
        <v/>
      </c>
      <c r="AO121" t="str">
        <f t="shared" si="31"/>
        <v/>
      </c>
      <c r="AQ121" t="e">
        <f t="shared" si="32"/>
        <v>#N/A</v>
      </c>
      <c r="AR121" t="str">
        <f t="shared" si="33"/>
        <v/>
      </c>
      <c r="AS121" t="str">
        <f t="shared" si="34"/>
        <v/>
      </c>
      <c r="AT121" t="str">
        <f t="shared" si="35"/>
        <v/>
      </c>
      <c r="AU121" t="str">
        <f t="shared" si="36"/>
        <v/>
      </c>
      <c r="AV121" t="str">
        <f t="shared" si="37"/>
        <v/>
      </c>
      <c r="AW121" t="str">
        <f t="shared" si="38"/>
        <v/>
      </c>
      <c r="AX121" t="str">
        <f t="shared" si="39"/>
        <v/>
      </c>
      <c r="AY121" t="str">
        <f t="shared" si="40"/>
        <v>Step 9</v>
      </c>
    </row>
    <row r="122" spans="1:51" x14ac:dyDescent="0.3">
      <c r="A122" s="16" t="s">
        <v>174</v>
      </c>
      <c r="B122" s="16" t="s">
        <v>227</v>
      </c>
      <c r="C122" s="16" t="s">
        <v>225</v>
      </c>
      <c r="D122" s="16" t="s">
        <v>225</v>
      </c>
      <c r="W122" t="e">
        <f t="shared" si="41"/>
        <v>#N/A</v>
      </c>
      <c r="X122" t="str">
        <f t="shared" si="42"/>
        <v/>
      </c>
      <c r="Y122" t="str">
        <f t="shared" si="43"/>
        <v/>
      </c>
      <c r="Z122" t="str">
        <f t="shared" si="44"/>
        <v/>
      </c>
      <c r="AA122" t="str">
        <f t="shared" si="45"/>
        <v/>
      </c>
      <c r="AB122" t="str">
        <f t="shared" si="46"/>
        <v/>
      </c>
      <c r="AC122" t="str">
        <f t="shared" si="47"/>
        <v>Step 7</v>
      </c>
      <c r="AD122" t="str">
        <f t="shared" si="48"/>
        <v/>
      </c>
      <c r="AE122" t="str">
        <f t="shared" si="29"/>
        <v/>
      </c>
      <c r="AG122" t="e">
        <f t="shared" si="49"/>
        <v>#N/A</v>
      </c>
      <c r="AH122" t="str">
        <f t="shared" si="50"/>
        <v/>
      </c>
      <c r="AI122" t="str">
        <f t="shared" si="51"/>
        <v/>
      </c>
      <c r="AJ122" t="str">
        <f t="shared" si="52"/>
        <v/>
      </c>
      <c r="AK122" t="str">
        <f t="shared" si="53"/>
        <v>Step 5</v>
      </c>
      <c r="AL122" t="str">
        <f t="shared" si="54"/>
        <v/>
      </c>
      <c r="AM122" t="str">
        <f t="shared" si="55"/>
        <v/>
      </c>
      <c r="AN122" t="str">
        <f t="shared" si="30"/>
        <v/>
      </c>
      <c r="AO122" t="str">
        <f t="shared" si="31"/>
        <v/>
      </c>
      <c r="AQ122" t="e">
        <f t="shared" si="32"/>
        <v>#N/A</v>
      </c>
      <c r="AR122" t="str">
        <f t="shared" si="33"/>
        <v/>
      </c>
      <c r="AS122" t="str">
        <f t="shared" si="34"/>
        <v/>
      </c>
      <c r="AT122" t="str">
        <f t="shared" si="35"/>
        <v/>
      </c>
      <c r="AU122" t="str">
        <f t="shared" si="36"/>
        <v>Step 5</v>
      </c>
      <c r="AV122" t="str">
        <f t="shared" si="37"/>
        <v/>
      </c>
      <c r="AW122" t="str">
        <f t="shared" si="38"/>
        <v/>
      </c>
      <c r="AX122" t="str">
        <f t="shared" si="39"/>
        <v/>
      </c>
      <c r="AY122" t="str">
        <f t="shared" si="40"/>
        <v/>
      </c>
    </row>
    <row r="123" spans="1:51" x14ac:dyDescent="0.3">
      <c r="A123" s="16" t="s">
        <v>175</v>
      </c>
      <c r="B123" s="16" t="s">
        <v>224</v>
      </c>
      <c r="C123" s="16" t="s">
        <v>226</v>
      </c>
      <c r="D123" s="16" t="s">
        <v>228</v>
      </c>
      <c r="W123" t="e">
        <f t="shared" si="41"/>
        <v>#N/A</v>
      </c>
      <c r="X123" t="str">
        <f t="shared" si="42"/>
        <v/>
      </c>
      <c r="Y123" t="str">
        <f t="shared" si="43"/>
        <v/>
      </c>
      <c r="Z123" t="str">
        <f t="shared" si="44"/>
        <v>Step 4</v>
      </c>
      <c r="AA123" t="str">
        <f t="shared" si="45"/>
        <v/>
      </c>
      <c r="AB123" t="str">
        <f t="shared" si="46"/>
        <v/>
      </c>
      <c r="AC123" t="str">
        <f t="shared" si="47"/>
        <v/>
      </c>
      <c r="AD123" t="str">
        <f t="shared" si="48"/>
        <v/>
      </c>
      <c r="AE123" t="str">
        <f t="shared" si="29"/>
        <v/>
      </c>
      <c r="AG123" t="e">
        <f t="shared" si="49"/>
        <v>#N/A</v>
      </c>
      <c r="AH123" t="str">
        <f t="shared" si="50"/>
        <v/>
      </c>
      <c r="AI123" t="str">
        <f t="shared" si="51"/>
        <v/>
      </c>
      <c r="AJ123" t="str">
        <f t="shared" si="52"/>
        <v/>
      </c>
      <c r="AK123" t="str">
        <f t="shared" si="53"/>
        <v/>
      </c>
      <c r="AL123" t="str">
        <f t="shared" si="54"/>
        <v>Step 6</v>
      </c>
      <c r="AM123" t="str">
        <f t="shared" si="55"/>
        <v/>
      </c>
      <c r="AN123" t="str">
        <f t="shared" si="30"/>
        <v/>
      </c>
      <c r="AO123" t="str">
        <f t="shared" si="31"/>
        <v/>
      </c>
      <c r="AQ123" t="e">
        <f t="shared" si="32"/>
        <v>#N/A</v>
      </c>
      <c r="AR123" t="str">
        <f t="shared" si="33"/>
        <v/>
      </c>
      <c r="AS123" t="str">
        <f t="shared" si="34"/>
        <v/>
      </c>
      <c r="AT123" t="str">
        <f t="shared" si="35"/>
        <v/>
      </c>
      <c r="AU123" t="str">
        <f t="shared" si="36"/>
        <v/>
      </c>
      <c r="AV123" t="str">
        <f t="shared" si="37"/>
        <v/>
      </c>
      <c r="AW123" t="str">
        <f t="shared" si="38"/>
        <v/>
      </c>
      <c r="AX123" t="str">
        <f t="shared" si="39"/>
        <v>Step 8</v>
      </c>
      <c r="AY123" t="str">
        <f t="shared" si="40"/>
        <v/>
      </c>
    </row>
    <row r="124" spans="1:51" x14ac:dyDescent="0.3">
      <c r="A124" s="16" t="s">
        <v>176</v>
      </c>
      <c r="B124" s="16" t="s">
        <v>227</v>
      </c>
      <c r="C124" s="16" t="s">
        <v>229</v>
      </c>
      <c r="D124" s="16" t="s">
        <v>225</v>
      </c>
      <c r="W124" t="e">
        <f t="shared" si="41"/>
        <v>#N/A</v>
      </c>
      <c r="X124" t="str">
        <f t="shared" si="42"/>
        <v/>
      </c>
      <c r="Y124" t="str">
        <f t="shared" si="43"/>
        <v/>
      </c>
      <c r="Z124" t="str">
        <f t="shared" si="44"/>
        <v/>
      </c>
      <c r="AA124" t="str">
        <f t="shared" si="45"/>
        <v/>
      </c>
      <c r="AB124" t="str">
        <f t="shared" si="46"/>
        <v/>
      </c>
      <c r="AC124" t="str">
        <f t="shared" si="47"/>
        <v>Step 7</v>
      </c>
      <c r="AD124" t="str">
        <f t="shared" si="48"/>
        <v/>
      </c>
      <c r="AE124" t="str">
        <f t="shared" si="29"/>
        <v/>
      </c>
      <c r="AG124" t="e">
        <f t="shared" si="49"/>
        <v>#N/A</v>
      </c>
      <c r="AH124" t="str">
        <f t="shared" si="50"/>
        <v/>
      </c>
      <c r="AI124" t="str">
        <f t="shared" si="51"/>
        <v/>
      </c>
      <c r="AJ124" t="str">
        <f t="shared" si="52"/>
        <v/>
      </c>
      <c r="AK124" t="str">
        <f t="shared" si="53"/>
        <v/>
      </c>
      <c r="AL124" t="str">
        <f t="shared" si="54"/>
        <v/>
      </c>
      <c r="AM124" t="str">
        <f t="shared" si="55"/>
        <v/>
      </c>
      <c r="AN124" t="str">
        <f t="shared" si="30"/>
        <v/>
      </c>
      <c r="AO124" t="str">
        <f t="shared" si="31"/>
        <v>Step 9</v>
      </c>
      <c r="AQ124" t="e">
        <f t="shared" si="32"/>
        <v>#N/A</v>
      </c>
      <c r="AR124" t="str">
        <f t="shared" si="33"/>
        <v/>
      </c>
      <c r="AS124" t="str">
        <f t="shared" si="34"/>
        <v/>
      </c>
      <c r="AT124" t="str">
        <f t="shared" si="35"/>
        <v/>
      </c>
      <c r="AU124" t="str">
        <f t="shared" si="36"/>
        <v>Step 5</v>
      </c>
      <c r="AV124" t="str">
        <f t="shared" si="37"/>
        <v/>
      </c>
      <c r="AW124" t="str">
        <f t="shared" si="38"/>
        <v/>
      </c>
      <c r="AX124" t="str">
        <f t="shared" si="39"/>
        <v/>
      </c>
      <c r="AY124" t="str">
        <f t="shared" si="40"/>
        <v/>
      </c>
    </row>
    <row r="125" spans="1:51" x14ac:dyDescent="0.3">
      <c r="A125" s="16" t="s">
        <v>177</v>
      </c>
      <c r="B125" s="16" t="s">
        <v>229</v>
      </c>
      <c r="C125" s="16" t="s">
        <v>224</v>
      </c>
      <c r="D125" s="16" t="s">
        <v>221</v>
      </c>
      <c r="W125" t="e">
        <f t="shared" si="41"/>
        <v>#N/A</v>
      </c>
      <c r="X125" t="str">
        <f t="shared" si="42"/>
        <v/>
      </c>
      <c r="Y125" t="str">
        <f t="shared" si="43"/>
        <v/>
      </c>
      <c r="Z125" t="str">
        <f t="shared" si="44"/>
        <v/>
      </c>
      <c r="AA125" t="str">
        <f t="shared" si="45"/>
        <v/>
      </c>
      <c r="AB125" t="str">
        <f t="shared" si="46"/>
        <v/>
      </c>
      <c r="AC125" t="str">
        <f t="shared" si="47"/>
        <v/>
      </c>
      <c r="AD125" t="str">
        <f t="shared" si="48"/>
        <v/>
      </c>
      <c r="AE125" t="str">
        <f t="shared" si="29"/>
        <v>Step 9</v>
      </c>
      <c r="AG125" t="e">
        <f t="shared" si="49"/>
        <v>#N/A</v>
      </c>
      <c r="AH125" t="str">
        <f t="shared" si="50"/>
        <v/>
      </c>
      <c r="AI125" t="str">
        <f t="shared" si="51"/>
        <v/>
      </c>
      <c r="AJ125" t="str">
        <f t="shared" si="52"/>
        <v>Step 4</v>
      </c>
      <c r="AK125" t="str">
        <f t="shared" si="53"/>
        <v/>
      </c>
      <c r="AL125" t="str">
        <f t="shared" si="54"/>
        <v/>
      </c>
      <c r="AM125" t="str">
        <f t="shared" si="55"/>
        <v/>
      </c>
      <c r="AN125" t="str">
        <f t="shared" si="30"/>
        <v/>
      </c>
      <c r="AO125" t="str">
        <f t="shared" si="31"/>
        <v/>
      </c>
      <c r="AQ125" t="str">
        <f t="shared" si="32"/>
        <v>Step 1</v>
      </c>
      <c r="AR125" t="str">
        <f t="shared" si="33"/>
        <v/>
      </c>
      <c r="AS125" t="str">
        <f t="shared" si="34"/>
        <v/>
      </c>
      <c r="AT125" t="str">
        <f t="shared" si="35"/>
        <v/>
      </c>
      <c r="AU125" t="str">
        <f t="shared" si="36"/>
        <v/>
      </c>
      <c r="AV125" t="str">
        <f t="shared" si="37"/>
        <v/>
      </c>
      <c r="AW125" t="str">
        <f t="shared" si="38"/>
        <v/>
      </c>
      <c r="AX125" t="str">
        <f t="shared" si="39"/>
        <v/>
      </c>
      <c r="AY125" t="str">
        <f t="shared" si="40"/>
        <v/>
      </c>
    </row>
    <row r="126" spans="1:51" x14ac:dyDescent="0.3">
      <c r="A126" s="16" t="s">
        <v>178</v>
      </c>
      <c r="B126" s="16" t="s">
        <v>227</v>
      </c>
      <c r="C126" s="16" t="s">
        <v>227</v>
      </c>
      <c r="D126" s="16" t="s">
        <v>226</v>
      </c>
      <c r="W126" t="e">
        <f t="shared" si="41"/>
        <v>#N/A</v>
      </c>
      <c r="X126" t="str">
        <f t="shared" si="42"/>
        <v/>
      </c>
      <c r="Y126" t="str">
        <f t="shared" si="43"/>
        <v/>
      </c>
      <c r="Z126" t="str">
        <f t="shared" si="44"/>
        <v/>
      </c>
      <c r="AA126" t="str">
        <f t="shared" si="45"/>
        <v/>
      </c>
      <c r="AB126" t="str">
        <f t="shared" si="46"/>
        <v/>
      </c>
      <c r="AC126" t="str">
        <f t="shared" si="47"/>
        <v>Step 7</v>
      </c>
      <c r="AD126" t="str">
        <f t="shared" si="48"/>
        <v/>
      </c>
      <c r="AE126" t="str">
        <f t="shared" si="29"/>
        <v/>
      </c>
      <c r="AG126" t="e">
        <f t="shared" si="49"/>
        <v>#N/A</v>
      </c>
      <c r="AH126" t="str">
        <f t="shared" si="50"/>
        <v/>
      </c>
      <c r="AI126" t="str">
        <f t="shared" si="51"/>
        <v/>
      </c>
      <c r="AJ126" t="str">
        <f t="shared" si="52"/>
        <v/>
      </c>
      <c r="AK126" t="str">
        <f t="shared" si="53"/>
        <v/>
      </c>
      <c r="AL126" t="str">
        <f t="shared" si="54"/>
        <v/>
      </c>
      <c r="AM126" t="str">
        <f t="shared" si="55"/>
        <v>Step 7</v>
      </c>
      <c r="AN126" t="str">
        <f t="shared" si="30"/>
        <v/>
      </c>
      <c r="AO126" t="str">
        <f t="shared" si="31"/>
        <v/>
      </c>
      <c r="AQ126" t="e">
        <f t="shared" si="32"/>
        <v>#N/A</v>
      </c>
      <c r="AR126" t="str">
        <f t="shared" si="33"/>
        <v/>
      </c>
      <c r="AS126" t="str">
        <f t="shared" si="34"/>
        <v/>
      </c>
      <c r="AT126" t="str">
        <f t="shared" si="35"/>
        <v/>
      </c>
      <c r="AU126" t="str">
        <f t="shared" si="36"/>
        <v/>
      </c>
      <c r="AV126" t="str">
        <f t="shared" si="37"/>
        <v>Step 6</v>
      </c>
      <c r="AW126" t="str">
        <f t="shared" si="38"/>
        <v/>
      </c>
      <c r="AX126" t="str">
        <f t="shared" si="39"/>
        <v/>
      </c>
      <c r="AY126" t="str">
        <f t="shared" si="40"/>
        <v/>
      </c>
    </row>
    <row r="127" spans="1:51" x14ac:dyDescent="0.3">
      <c r="A127" s="16" t="s">
        <v>179</v>
      </c>
      <c r="B127" s="16" t="s">
        <v>223</v>
      </c>
      <c r="C127" s="16" t="s">
        <v>228</v>
      </c>
      <c r="D127" s="16" t="s">
        <v>227</v>
      </c>
      <c r="W127" t="e">
        <f t="shared" si="41"/>
        <v>#N/A</v>
      </c>
      <c r="X127" t="str">
        <f t="shared" si="42"/>
        <v/>
      </c>
      <c r="Y127" t="str">
        <f t="shared" si="43"/>
        <v>Step 3</v>
      </c>
      <c r="Z127" t="str">
        <f t="shared" si="44"/>
        <v/>
      </c>
      <c r="AA127" t="str">
        <f t="shared" si="45"/>
        <v/>
      </c>
      <c r="AB127" t="str">
        <f t="shared" si="46"/>
        <v/>
      </c>
      <c r="AC127" t="str">
        <f t="shared" si="47"/>
        <v/>
      </c>
      <c r="AD127" t="str">
        <f t="shared" si="48"/>
        <v/>
      </c>
      <c r="AE127" t="str">
        <f t="shared" si="29"/>
        <v/>
      </c>
      <c r="AG127" t="e">
        <f t="shared" si="49"/>
        <v>#N/A</v>
      </c>
      <c r="AH127" t="str">
        <f t="shared" si="50"/>
        <v/>
      </c>
      <c r="AI127" t="str">
        <f t="shared" si="51"/>
        <v/>
      </c>
      <c r="AJ127" t="str">
        <f t="shared" si="52"/>
        <v/>
      </c>
      <c r="AK127" t="str">
        <f t="shared" si="53"/>
        <v/>
      </c>
      <c r="AL127" t="str">
        <f t="shared" si="54"/>
        <v/>
      </c>
      <c r="AM127" t="str">
        <f t="shared" si="55"/>
        <v/>
      </c>
      <c r="AN127" t="str">
        <f t="shared" si="30"/>
        <v>Step 8</v>
      </c>
      <c r="AO127" t="str">
        <f t="shared" si="31"/>
        <v/>
      </c>
      <c r="AQ127" t="e">
        <f t="shared" si="32"/>
        <v>#N/A</v>
      </c>
      <c r="AR127" t="str">
        <f t="shared" si="33"/>
        <v/>
      </c>
      <c r="AS127" t="str">
        <f t="shared" si="34"/>
        <v/>
      </c>
      <c r="AT127" t="str">
        <f t="shared" si="35"/>
        <v/>
      </c>
      <c r="AU127" t="str">
        <f t="shared" si="36"/>
        <v/>
      </c>
      <c r="AV127" t="str">
        <f t="shared" si="37"/>
        <v/>
      </c>
      <c r="AW127" t="str">
        <f t="shared" si="38"/>
        <v>Step 7</v>
      </c>
      <c r="AX127" t="str">
        <f t="shared" si="39"/>
        <v/>
      </c>
      <c r="AY127" t="str">
        <f t="shared" si="40"/>
        <v/>
      </c>
    </row>
    <row r="128" spans="1:51" x14ac:dyDescent="0.3">
      <c r="A128" s="16" t="s">
        <v>180</v>
      </c>
      <c r="B128" s="16" t="s">
        <v>229</v>
      </c>
      <c r="C128" s="16" t="s">
        <v>222</v>
      </c>
      <c r="D128" s="16" t="s">
        <v>224</v>
      </c>
      <c r="W128" t="e">
        <f t="shared" si="41"/>
        <v>#N/A</v>
      </c>
      <c r="X128" t="str">
        <f t="shared" si="42"/>
        <v/>
      </c>
      <c r="Y128" t="str">
        <f t="shared" si="43"/>
        <v/>
      </c>
      <c r="Z128" t="str">
        <f t="shared" si="44"/>
        <v/>
      </c>
      <c r="AA128" t="str">
        <f t="shared" si="45"/>
        <v/>
      </c>
      <c r="AB128" t="str">
        <f t="shared" si="46"/>
        <v/>
      </c>
      <c r="AC128" t="str">
        <f t="shared" si="47"/>
        <v/>
      </c>
      <c r="AD128" t="str">
        <f t="shared" si="48"/>
        <v/>
      </c>
      <c r="AE128" t="str">
        <f t="shared" si="29"/>
        <v>Step 9</v>
      </c>
      <c r="AG128" t="e">
        <f t="shared" si="49"/>
        <v>#N/A</v>
      </c>
      <c r="AH128" t="str">
        <f t="shared" si="50"/>
        <v>Step 2</v>
      </c>
      <c r="AI128" t="str">
        <f t="shared" si="51"/>
        <v/>
      </c>
      <c r="AJ128" t="str">
        <f t="shared" si="52"/>
        <v/>
      </c>
      <c r="AK128" t="str">
        <f t="shared" si="53"/>
        <v/>
      </c>
      <c r="AL128" t="str">
        <f t="shared" si="54"/>
        <v/>
      </c>
      <c r="AM128" t="str">
        <f t="shared" si="55"/>
        <v/>
      </c>
      <c r="AN128" t="str">
        <f t="shared" si="30"/>
        <v/>
      </c>
      <c r="AO128" t="str">
        <f t="shared" si="31"/>
        <v/>
      </c>
      <c r="AQ128" t="e">
        <f t="shared" si="32"/>
        <v>#N/A</v>
      </c>
      <c r="AR128" t="str">
        <f t="shared" si="33"/>
        <v/>
      </c>
      <c r="AS128" t="str">
        <f t="shared" si="34"/>
        <v/>
      </c>
      <c r="AT128" t="str">
        <f t="shared" si="35"/>
        <v>Step 4</v>
      </c>
      <c r="AU128" t="str">
        <f t="shared" si="36"/>
        <v/>
      </c>
      <c r="AV128" t="str">
        <f t="shared" si="37"/>
        <v/>
      </c>
      <c r="AW128" t="str">
        <f t="shared" si="38"/>
        <v/>
      </c>
      <c r="AX128" t="str">
        <f t="shared" si="39"/>
        <v/>
      </c>
      <c r="AY128" t="str">
        <f t="shared" si="40"/>
        <v/>
      </c>
    </row>
    <row r="129" spans="1:16383" x14ac:dyDescent="0.3">
      <c r="A129" s="16" t="s">
        <v>181</v>
      </c>
      <c r="B129" s="16" t="s">
        <v>222</v>
      </c>
      <c r="C129" s="16" t="s">
        <v>228</v>
      </c>
      <c r="D129" s="16" t="s">
        <v>225</v>
      </c>
      <c r="W129" t="e">
        <f>IF(B129=$W$11,$W$11,#N/A)</f>
        <v>#N/A</v>
      </c>
      <c r="X129" t="str">
        <f t="shared" si="42"/>
        <v>Step 2</v>
      </c>
      <c r="Y129" t="str">
        <f t="shared" si="43"/>
        <v/>
      </c>
      <c r="Z129" t="str">
        <f t="shared" si="44"/>
        <v/>
      </c>
      <c r="AA129" t="str">
        <f t="shared" si="45"/>
        <v/>
      </c>
      <c r="AB129" t="str">
        <f t="shared" si="46"/>
        <v/>
      </c>
      <c r="AC129" t="str">
        <f t="shared" si="47"/>
        <v/>
      </c>
      <c r="AD129" t="str">
        <f t="shared" si="48"/>
        <v/>
      </c>
      <c r="AE129" t="str">
        <f t="shared" si="29"/>
        <v/>
      </c>
      <c r="AG129" t="e">
        <f t="shared" si="49"/>
        <v>#N/A</v>
      </c>
      <c r="AH129" t="str">
        <f t="shared" si="50"/>
        <v/>
      </c>
      <c r="AI129" t="str">
        <f t="shared" si="51"/>
        <v/>
      </c>
      <c r="AJ129" t="str">
        <f t="shared" si="52"/>
        <v/>
      </c>
      <c r="AK129" t="str">
        <f t="shared" si="53"/>
        <v/>
      </c>
      <c r="AL129" t="str">
        <f t="shared" si="54"/>
        <v/>
      </c>
      <c r="AM129" t="str">
        <f t="shared" si="55"/>
        <v/>
      </c>
      <c r="AN129" t="str">
        <f t="shared" si="30"/>
        <v>Step 8</v>
      </c>
      <c r="AO129" t="str">
        <f t="shared" si="31"/>
        <v/>
      </c>
      <c r="AQ129" t="e">
        <f t="shared" si="32"/>
        <v>#N/A</v>
      </c>
      <c r="AR129" t="str">
        <f t="shared" si="33"/>
        <v/>
      </c>
      <c r="AS129" t="str">
        <f t="shared" si="34"/>
        <v/>
      </c>
      <c r="AT129" t="str">
        <f t="shared" si="35"/>
        <v/>
      </c>
      <c r="AU129" t="str">
        <f t="shared" si="36"/>
        <v>Step 5</v>
      </c>
      <c r="AV129" t="str">
        <f t="shared" si="37"/>
        <v/>
      </c>
      <c r="AW129" t="str">
        <f t="shared" si="38"/>
        <v/>
      </c>
      <c r="AX129" t="str">
        <f t="shared" si="39"/>
        <v/>
      </c>
      <c r="AY129" t="str">
        <f t="shared" si="40"/>
        <v/>
      </c>
    </row>
    <row r="130" spans="1:16383" x14ac:dyDescent="0.3">
      <c r="A130" s="16" t="s">
        <v>182</v>
      </c>
      <c r="B130" s="16" t="s">
        <v>229</v>
      </c>
      <c r="C130" s="16" t="s">
        <v>222</v>
      </c>
      <c r="D130" s="16" t="s">
        <v>225</v>
      </c>
      <c r="W130" t="e">
        <f t="shared" ref="W130:W133" si="56">IF(B130=$W$11,$W$11,#N/A)</f>
        <v>#N/A</v>
      </c>
      <c r="X130" t="str">
        <f t="shared" ref="X130:X133" si="57">IF(ISNUMBER(SEARCH($X$11,B130)),$X$11,"")</f>
        <v/>
      </c>
      <c r="Y130" t="str">
        <f t="shared" ref="Y130:Y133" si="58">IF(ISNUMBER(SEARCH($Y$11,B130)),$Y$11,"")</f>
        <v/>
      </c>
      <c r="Z130" t="str">
        <f t="shared" ref="Z130:Z133" si="59">IF(ISNUMBER(SEARCH($Z$11,B130)),$Z$11,"")</f>
        <v/>
      </c>
      <c r="AA130" t="str">
        <f t="shared" ref="AA130:AA133" si="60">IF(ISNUMBER(SEARCH($AA$11,B130)),$AA$11,"")</f>
        <v/>
      </c>
      <c r="AB130" t="str">
        <f t="shared" ref="AB130:AB133" si="61">IF(ISNUMBER(SEARCH($AB$11,B130)),$AB$11,"")</f>
        <v/>
      </c>
      <c r="AC130" t="str">
        <f t="shared" ref="AC130:AC133" si="62">IF(ISNUMBER(SEARCH($AC$11,B130)),$AC$11,"")</f>
        <v/>
      </c>
      <c r="AD130" t="str">
        <f t="shared" ref="AD130:AD133" si="63">IF(ISNUMBER(SEARCH($AD$11,B130)),$AD$11,"")</f>
        <v/>
      </c>
      <c r="AE130" t="str">
        <f t="shared" ref="AE130:AE133" si="64">IF(ISNUMBER(SEARCH($AE$11,B130)),$AE$11,"")</f>
        <v>Step 9</v>
      </c>
      <c r="AG130" t="e">
        <f t="shared" ref="AG130:AG133" si="65">IF(C130=$AG$11,$AG$11,#N/A)</f>
        <v>#N/A</v>
      </c>
      <c r="AH130" t="str">
        <f t="shared" ref="AH130:AH133" si="66">IF(ISNUMBER(SEARCH($AH$11,C130)),$AH$11,"")</f>
        <v>Step 2</v>
      </c>
      <c r="AI130" t="str">
        <f t="shared" ref="AI130:AI133" si="67">IF(ISNUMBER(SEARCH($AI$11,C130)),$AI$11,"")</f>
        <v/>
      </c>
      <c r="AJ130" t="str">
        <f t="shared" ref="AJ130:AJ133" si="68">IF(ISNUMBER(SEARCH($AJ$11,C130)),$AJ$11,"")</f>
        <v/>
      </c>
      <c r="AK130" t="str">
        <f t="shared" ref="AK130:AK133" si="69">IF(ISNUMBER(SEARCH($AK$11,C130)),$AK$11,"")</f>
        <v/>
      </c>
      <c r="AL130" t="str">
        <f t="shared" ref="AL130:AL133" si="70">IF(ISNUMBER(SEARCH($AL$11,C130)),$AL$11,"")</f>
        <v/>
      </c>
      <c r="AM130" t="str">
        <f t="shared" ref="AM130:AM133" si="71">IF(ISNUMBER(SEARCH($AM$11,C130)),$AM$11,"")</f>
        <v/>
      </c>
      <c r="AN130" t="str">
        <f t="shared" ref="AN130:AN133" si="72">IF(ISNUMBER(SEARCH($AN$11,C130)),$AN$11,"")</f>
        <v/>
      </c>
      <c r="AO130" t="str">
        <f t="shared" ref="AO130:AO133" si="73">IF(ISNUMBER(SEARCH($AO$11,C130)),$AO$11,"")</f>
        <v/>
      </c>
      <c r="AQ130" t="e">
        <f t="shared" ref="AQ130:AQ133" si="74">IF(D130=$AQ$11,$AQ$11,#N/A)</f>
        <v>#N/A</v>
      </c>
      <c r="AR130" t="str">
        <f t="shared" ref="AR130:AR133" si="75">IF(ISNUMBER(SEARCH($AR$11,D130)),$AR$11,"")</f>
        <v/>
      </c>
      <c r="AS130" t="str">
        <f t="shared" ref="AS130:AS133" si="76">IF(ISNUMBER(SEARCH($AS$11,D130)),$AS$11,"")</f>
        <v/>
      </c>
      <c r="AT130" t="str">
        <f t="shared" ref="AT130:AT133" si="77">IF(ISNUMBER(SEARCH($AT$11,D130)),$AT$11,"")</f>
        <v/>
      </c>
      <c r="AU130" t="str">
        <f t="shared" ref="AU130:AU133" si="78">IF(ISNUMBER(SEARCH($AU$11,D130)),$AU$11,"")</f>
        <v>Step 5</v>
      </c>
      <c r="AV130" t="str">
        <f t="shared" ref="AV130:AV133" si="79">IF(ISNUMBER(SEARCH($AV$11,D130)),$AV$11,"")</f>
        <v/>
      </c>
      <c r="AW130" t="str">
        <f t="shared" ref="AW130:AW133" si="80">IF(ISNUMBER(SEARCH($AW$11,D130)),$AW$11,"")</f>
        <v/>
      </c>
      <c r="AX130" t="str">
        <f t="shared" ref="AX130:AX133" si="81">IF(ISNUMBER(SEARCH($AX$11,D130)),$AX$11,"")</f>
        <v/>
      </c>
      <c r="AY130" t="str">
        <f t="shared" ref="AY130:AY133" si="82">IF(ISNUMBER(SEARCH($AY$11,D130)),$AY$11,"")</f>
        <v/>
      </c>
    </row>
    <row r="131" spans="1:16383" x14ac:dyDescent="0.3">
      <c r="A131" s="16" t="s">
        <v>183</v>
      </c>
      <c r="B131" s="16" t="s">
        <v>229</v>
      </c>
      <c r="C131" s="16" t="s">
        <v>229</v>
      </c>
      <c r="D131" s="16" t="s">
        <v>228</v>
      </c>
      <c r="W131" t="e">
        <f t="shared" si="56"/>
        <v>#N/A</v>
      </c>
      <c r="X131" t="str">
        <f t="shared" si="57"/>
        <v/>
      </c>
      <c r="Y131" t="str">
        <f t="shared" si="58"/>
        <v/>
      </c>
      <c r="Z131" t="str">
        <f t="shared" si="59"/>
        <v/>
      </c>
      <c r="AA131" t="str">
        <f t="shared" si="60"/>
        <v/>
      </c>
      <c r="AB131" t="str">
        <f t="shared" si="61"/>
        <v/>
      </c>
      <c r="AC131" t="str">
        <f t="shared" si="62"/>
        <v/>
      </c>
      <c r="AD131" t="str">
        <f t="shared" si="63"/>
        <v/>
      </c>
      <c r="AE131" t="str">
        <f t="shared" si="64"/>
        <v>Step 9</v>
      </c>
      <c r="AG131" t="e">
        <f t="shared" si="65"/>
        <v>#N/A</v>
      </c>
      <c r="AH131" t="str">
        <f t="shared" si="66"/>
        <v/>
      </c>
      <c r="AI131" t="str">
        <f t="shared" si="67"/>
        <v/>
      </c>
      <c r="AJ131" t="str">
        <f t="shared" si="68"/>
        <v/>
      </c>
      <c r="AK131" t="str">
        <f t="shared" si="69"/>
        <v/>
      </c>
      <c r="AL131" t="str">
        <f t="shared" si="70"/>
        <v/>
      </c>
      <c r="AM131" t="str">
        <f t="shared" si="71"/>
        <v/>
      </c>
      <c r="AN131" t="str">
        <f t="shared" si="72"/>
        <v/>
      </c>
      <c r="AO131" t="str">
        <f t="shared" si="73"/>
        <v>Step 9</v>
      </c>
      <c r="AQ131" t="e">
        <f t="shared" si="74"/>
        <v>#N/A</v>
      </c>
      <c r="AR131" t="str">
        <f t="shared" si="75"/>
        <v/>
      </c>
      <c r="AS131" t="str">
        <f t="shared" si="76"/>
        <v/>
      </c>
      <c r="AT131" t="str">
        <f t="shared" si="77"/>
        <v/>
      </c>
      <c r="AU131" t="str">
        <f t="shared" si="78"/>
        <v/>
      </c>
      <c r="AV131" t="str">
        <f t="shared" si="79"/>
        <v/>
      </c>
      <c r="AW131" t="str">
        <f t="shared" si="80"/>
        <v/>
      </c>
      <c r="AX131" t="str">
        <f t="shared" si="81"/>
        <v>Step 8</v>
      </c>
      <c r="AY131" t="str">
        <f t="shared" si="82"/>
        <v/>
      </c>
    </row>
    <row r="132" spans="1:16383" x14ac:dyDescent="0.3">
      <c r="A132" s="16" t="s">
        <v>184</v>
      </c>
      <c r="B132" s="16" t="s">
        <v>221</v>
      </c>
      <c r="C132" s="16" t="s">
        <v>221</v>
      </c>
      <c r="D132" s="16" t="s">
        <v>223</v>
      </c>
      <c r="W132" t="str">
        <f t="shared" si="56"/>
        <v>Step 1</v>
      </c>
      <c r="X132" t="str">
        <f t="shared" si="57"/>
        <v/>
      </c>
      <c r="Y132" t="str">
        <f t="shared" si="58"/>
        <v/>
      </c>
      <c r="Z132" t="str">
        <f t="shared" si="59"/>
        <v/>
      </c>
      <c r="AA132" t="str">
        <f t="shared" si="60"/>
        <v/>
      </c>
      <c r="AB132" t="str">
        <f t="shared" si="61"/>
        <v/>
      </c>
      <c r="AC132" t="str">
        <f t="shared" si="62"/>
        <v/>
      </c>
      <c r="AD132" t="str">
        <f t="shared" si="63"/>
        <v/>
      </c>
      <c r="AE132" t="str">
        <f t="shared" si="64"/>
        <v/>
      </c>
      <c r="AG132" t="str">
        <f t="shared" si="65"/>
        <v>Step 1</v>
      </c>
      <c r="AH132" t="str">
        <f t="shared" si="66"/>
        <v/>
      </c>
      <c r="AI132" t="str">
        <f t="shared" si="67"/>
        <v/>
      </c>
      <c r="AJ132" t="str">
        <f t="shared" si="68"/>
        <v/>
      </c>
      <c r="AK132" t="str">
        <f t="shared" si="69"/>
        <v/>
      </c>
      <c r="AL132" t="str">
        <f t="shared" si="70"/>
        <v/>
      </c>
      <c r="AM132" t="str">
        <f t="shared" si="71"/>
        <v/>
      </c>
      <c r="AN132" t="str">
        <f t="shared" si="72"/>
        <v/>
      </c>
      <c r="AO132" t="str">
        <f t="shared" si="73"/>
        <v/>
      </c>
      <c r="AQ132" t="e">
        <f t="shared" si="74"/>
        <v>#N/A</v>
      </c>
      <c r="AR132" t="str">
        <f t="shared" si="75"/>
        <v/>
      </c>
      <c r="AS132" t="str">
        <f t="shared" si="76"/>
        <v>Step 3</v>
      </c>
      <c r="AT132" t="str">
        <f t="shared" si="77"/>
        <v/>
      </c>
      <c r="AU132" t="str">
        <f t="shared" si="78"/>
        <v/>
      </c>
      <c r="AV132" t="str">
        <f t="shared" si="79"/>
        <v/>
      </c>
      <c r="AW132" t="str">
        <f t="shared" si="80"/>
        <v/>
      </c>
      <c r="AX132" t="str">
        <f t="shared" si="81"/>
        <v/>
      </c>
      <c r="AY132" t="str">
        <f t="shared" si="82"/>
        <v/>
      </c>
    </row>
    <row r="133" spans="1:16383" x14ac:dyDescent="0.3">
      <c r="A133" s="16" t="s">
        <v>185</v>
      </c>
      <c r="B133" s="16" t="s">
        <v>228</v>
      </c>
      <c r="C133" s="16" t="s">
        <v>225</v>
      </c>
      <c r="D133" s="16" t="s">
        <v>227</v>
      </c>
      <c r="W133" t="e">
        <f t="shared" si="56"/>
        <v>#N/A</v>
      </c>
      <c r="X133" t="str">
        <f t="shared" si="57"/>
        <v/>
      </c>
      <c r="Y133" t="str">
        <f t="shared" si="58"/>
        <v/>
      </c>
      <c r="Z133" t="str">
        <f t="shared" si="59"/>
        <v/>
      </c>
      <c r="AA133" t="str">
        <f t="shared" si="60"/>
        <v/>
      </c>
      <c r="AB133" t="str">
        <f t="shared" si="61"/>
        <v/>
      </c>
      <c r="AC133" t="str">
        <f t="shared" si="62"/>
        <v/>
      </c>
      <c r="AD133" t="str">
        <f t="shared" si="63"/>
        <v>Step 8</v>
      </c>
      <c r="AE133" t="str">
        <f t="shared" si="64"/>
        <v/>
      </c>
      <c r="AG133" t="e">
        <f t="shared" si="65"/>
        <v>#N/A</v>
      </c>
      <c r="AH133" t="str">
        <f t="shared" si="66"/>
        <v/>
      </c>
      <c r="AI133" t="str">
        <f t="shared" si="67"/>
        <v/>
      </c>
      <c r="AJ133" t="str">
        <f t="shared" si="68"/>
        <v/>
      </c>
      <c r="AK133" t="str">
        <f t="shared" si="69"/>
        <v>Step 5</v>
      </c>
      <c r="AL133" t="str">
        <f t="shared" si="70"/>
        <v/>
      </c>
      <c r="AM133" t="str">
        <f t="shared" si="71"/>
        <v/>
      </c>
      <c r="AN133" t="str">
        <f t="shared" si="72"/>
        <v/>
      </c>
      <c r="AO133" t="str">
        <f t="shared" si="73"/>
        <v/>
      </c>
      <c r="AQ133" t="e">
        <f t="shared" si="74"/>
        <v>#N/A</v>
      </c>
      <c r="AR133" t="str">
        <f t="shared" si="75"/>
        <v/>
      </c>
      <c r="AS133" t="str">
        <f t="shared" si="76"/>
        <v/>
      </c>
      <c r="AT133" t="str">
        <f t="shared" si="77"/>
        <v/>
      </c>
      <c r="AU133" t="str">
        <f t="shared" si="78"/>
        <v/>
      </c>
      <c r="AV133" t="str">
        <f t="shared" si="79"/>
        <v/>
      </c>
      <c r="AW133" t="str">
        <f t="shared" si="80"/>
        <v>Step 7</v>
      </c>
      <c r="AX133" t="str">
        <f t="shared" si="81"/>
        <v/>
      </c>
      <c r="AY133" t="str">
        <f t="shared" si="82"/>
        <v/>
      </c>
    </row>
    <row r="134" spans="1:16383" x14ac:dyDescent="0.3">
      <c r="A134" s="16" t="s">
        <v>21</v>
      </c>
      <c r="W134" t="s">
        <v>61</v>
      </c>
      <c r="X134" t="s">
        <v>61</v>
      </c>
      <c r="Y134" t="s">
        <v>61</v>
      </c>
      <c r="Z134" t="s">
        <v>61</v>
      </c>
      <c r="AA134" t="s">
        <v>61</v>
      </c>
      <c r="AB134" t="s">
        <v>61</v>
      </c>
      <c r="AC134" t="s">
        <v>61</v>
      </c>
      <c r="AD134" t="s">
        <v>61</v>
      </c>
      <c r="AE134" t="s">
        <v>61</v>
      </c>
      <c r="AF134" t="s">
        <v>61</v>
      </c>
      <c r="AG134" t="s">
        <v>61</v>
      </c>
      <c r="AH134" t="s">
        <v>61</v>
      </c>
      <c r="AI134" t="s">
        <v>61</v>
      </c>
      <c r="AJ134" t="s">
        <v>61</v>
      </c>
      <c r="AK134" t="s">
        <v>61</v>
      </c>
      <c r="AL134" t="s">
        <v>61</v>
      </c>
      <c r="AM134" t="s">
        <v>61</v>
      </c>
      <c r="AN134" t="s">
        <v>61</v>
      </c>
      <c r="AO134" t="s">
        <v>61</v>
      </c>
      <c r="AP134" t="s">
        <v>61</v>
      </c>
      <c r="AQ134" t="s">
        <v>61</v>
      </c>
      <c r="AR134" t="s">
        <v>61</v>
      </c>
      <c r="AS134" t="s">
        <v>61</v>
      </c>
      <c r="AT134" t="s">
        <v>61</v>
      </c>
      <c r="AU134" t="s">
        <v>61</v>
      </c>
      <c r="AV134" t="s">
        <v>61</v>
      </c>
      <c r="AW134" t="s">
        <v>61</v>
      </c>
      <c r="AX134" t="s">
        <v>61</v>
      </c>
      <c r="AY134" t="s">
        <v>61</v>
      </c>
      <c r="AZ134" t="s">
        <v>61</v>
      </c>
      <c r="BA134" t="s">
        <v>61</v>
      </c>
      <c r="BB134" t="s">
        <v>61</v>
      </c>
      <c r="BC134" t="s">
        <v>61</v>
      </c>
      <c r="BD134" t="s">
        <v>61</v>
      </c>
      <c r="BE134" t="s">
        <v>61</v>
      </c>
      <c r="BF134" t="s">
        <v>61</v>
      </c>
      <c r="BG134" t="s">
        <v>61</v>
      </c>
      <c r="BH134" t="s">
        <v>61</v>
      </c>
      <c r="BI134" t="s">
        <v>61</v>
      </c>
      <c r="BJ134" t="s">
        <v>61</v>
      </c>
      <c r="BK134" t="s">
        <v>61</v>
      </c>
      <c r="BL134" t="s">
        <v>61</v>
      </c>
      <c r="BM134" t="s">
        <v>61</v>
      </c>
      <c r="BN134" t="s">
        <v>61</v>
      </c>
      <c r="BO134" t="s">
        <v>61</v>
      </c>
      <c r="BP134" t="s">
        <v>61</v>
      </c>
      <c r="BQ134" t="s">
        <v>61</v>
      </c>
      <c r="BR134" t="s">
        <v>61</v>
      </c>
      <c r="BS134" t="s">
        <v>61</v>
      </c>
      <c r="BT134" t="s">
        <v>61</v>
      </c>
      <c r="BU134" t="s">
        <v>61</v>
      </c>
      <c r="BV134" t="s">
        <v>61</v>
      </c>
      <c r="BW134" t="s">
        <v>61</v>
      </c>
      <c r="BX134" t="s">
        <v>61</v>
      </c>
      <c r="BY134" t="s">
        <v>61</v>
      </c>
      <c r="BZ134" t="s">
        <v>61</v>
      </c>
      <c r="CA134" t="s">
        <v>61</v>
      </c>
      <c r="CB134" t="s">
        <v>61</v>
      </c>
      <c r="CC134" t="s">
        <v>61</v>
      </c>
      <c r="CD134" t="s">
        <v>61</v>
      </c>
      <c r="CE134" t="s">
        <v>61</v>
      </c>
      <c r="CF134" t="s">
        <v>61</v>
      </c>
      <c r="CG134" t="s">
        <v>61</v>
      </c>
      <c r="CH134" t="s">
        <v>61</v>
      </c>
      <c r="CI134" t="s">
        <v>61</v>
      </c>
      <c r="CJ134" t="s">
        <v>61</v>
      </c>
      <c r="CK134" t="s">
        <v>61</v>
      </c>
      <c r="CL134" t="s">
        <v>61</v>
      </c>
      <c r="CM134" t="s">
        <v>61</v>
      </c>
      <c r="CN134" t="s">
        <v>61</v>
      </c>
      <c r="CO134" t="s">
        <v>61</v>
      </c>
      <c r="CP134" t="s">
        <v>61</v>
      </c>
      <c r="CQ134" t="s">
        <v>61</v>
      </c>
      <c r="CR134" t="s">
        <v>61</v>
      </c>
      <c r="CS134" t="s">
        <v>61</v>
      </c>
      <c r="CT134" t="s">
        <v>61</v>
      </c>
      <c r="CU134" t="s">
        <v>61</v>
      </c>
      <c r="CV134" t="s">
        <v>61</v>
      </c>
      <c r="CW134" t="s">
        <v>61</v>
      </c>
      <c r="CX134" t="s">
        <v>61</v>
      </c>
      <c r="CY134" t="s">
        <v>61</v>
      </c>
      <c r="CZ134" t="s">
        <v>61</v>
      </c>
      <c r="DA134" t="s">
        <v>61</v>
      </c>
      <c r="DB134" t="s">
        <v>61</v>
      </c>
      <c r="DC134" t="s">
        <v>61</v>
      </c>
      <c r="DD134" t="s">
        <v>61</v>
      </c>
      <c r="DE134" t="s">
        <v>61</v>
      </c>
      <c r="DF134" t="s">
        <v>61</v>
      </c>
      <c r="DG134" t="s">
        <v>61</v>
      </c>
      <c r="DH134" t="s">
        <v>61</v>
      </c>
      <c r="DI134" t="s">
        <v>61</v>
      </c>
      <c r="DJ134" t="s">
        <v>61</v>
      </c>
      <c r="DK134" t="s">
        <v>61</v>
      </c>
      <c r="DL134" t="s">
        <v>61</v>
      </c>
      <c r="DM134" t="s">
        <v>61</v>
      </c>
      <c r="DN134" t="s">
        <v>61</v>
      </c>
      <c r="DO134" t="s">
        <v>61</v>
      </c>
      <c r="DP134" t="s">
        <v>61</v>
      </c>
      <c r="DQ134" t="s">
        <v>61</v>
      </c>
      <c r="DR134" t="s">
        <v>61</v>
      </c>
      <c r="DS134" t="s">
        <v>61</v>
      </c>
      <c r="DT134" t="s">
        <v>61</v>
      </c>
      <c r="DU134" t="s">
        <v>61</v>
      </c>
      <c r="DV134" t="s">
        <v>61</v>
      </c>
      <c r="DW134" t="s">
        <v>61</v>
      </c>
      <c r="DX134" t="s">
        <v>61</v>
      </c>
      <c r="DY134" t="s">
        <v>61</v>
      </c>
      <c r="DZ134" t="s">
        <v>61</v>
      </c>
      <c r="EA134" t="s">
        <v>61</v>
      </c>
      <c r="EB134" t="s">
        <v>61</v>
      </c>
      <c r="EC134" t="s">
        <v>61</v>
      </c>
      <c r="ED134" t="s">
        <v>61</v>
      </c>
      <c r="EE134" t="s">
        <v>61</v>
      </c>
      <c r="EF134" t="s">
        <v>61</v>
      </c>
      <c r="EG134" t="s">
        <v>61</v>
      </c>
      <c r="EH134" t="s">
        <v>61</v>
      </c>
      <c r="EI134" t="s">
        <v>61</v>
      </c>
      <c r="EJ134" t="s">
        <v>61</v>
      </c>
      <c r="EK134" t="s">
        <v>61</v>
      </c>
      <c r="EL134" t="s">
        <v>61</v>
      </c>
      <c r="EM134" t="s">
        <v>61</v>
      </c>
      <c r="EN134" t="s">
        <v>61</v>
      </c>
      <c r="EO134" t="s">
        <v>61</v>
      </c>
      <c r="EP134" t="s">
        <v>61</v>
      </c>
      <c r="EQ134" t="s">
        <v>61</v>
      </c>
      <c r="ER134" t="s">
        <v>61</v>
      </c>
      <c r="ES134" t="s">
        <v>61</v>
      </c>
      <c r="ET134" t="s">
        <v>61</v>
      </c>
      <c r="EU134" t="s">
        <v>61</v>
      </c>
      <c r="EV134" t="s">
        <v>61</v>
      </c>
      <c r="EW134" t="s">
        <v>61</v>
      </c>
      <c r="EX134" t="s">
        <v>61</v>
      </c>
      <c r="EY134" t="s">
        <v>61</v>
      </c>
      <c r="EZ134" t="s">
        <v>61</v>
      </c>
      <c r="FA134" t="s">
        <v>61</v>
      </c>
      <c r="FB134" t="s">
        <v>61</v>
      </c>
      <c r="FC134" t="s">
        <v>61</v>
      </c>
      <c r="FD134" t="s">
        <v>61</v>
      </c>
      <c r="FE134" t="s">
        <v>61</v>
      </c>
      <c r="FF134" t="s">
        <v>61</v>
      </c>
      <c r="FG134" t="s">
        <v>61</v>
      </c>
      <c r="FH134" t="s">
        <v>61</v>
      </c>
      <c r="FI134" t="s">
        <v>61</v>
      </c>
      <c r="FJ134" t="s">
        <v>61</v>
      </c>
      <c r="FK134" t="s">
        <v>61</v>
      </c>
      <c r="FL134" t="s">
        <v>61</v>
      </c>
      <c r="FM134" t="s">
        <v>61</v>
      </c>
      <c r="FN134" t="s">
        <v>61</v>
      </c>
      <c r="FO134" t="s">
        <v>61</v>
      </c>
      <c r="FP134" t="s">
        <v>61</v>
      </c>
      <c r="FQ134" t="s">
        <v>61</v>
      </c>
      <c r="FR134" t="s">
        <v>61</v>
      </c>
      <c r="FS134" t="s">
        <v>61</v>
      </c>
      <c r="FT134" t="s">
        <v>61</v>
      </c>
      <c r="FU134" t="s">
        <v>61</v>
      </c>
      <c r="FV134" t="s">
        <v>61</v>
      </c>
      <c r="FW134" t="s">
        <v>61</v>
      </c>
      <c r="FX134" t="s">
        <v>61</v>
      </c>
      <c r="FY134" t="s">
        <v>61</v>
      </c>
      <c r="FZ134" t="s">
        <v>61</v>
      </c>
      <c r="GA134" t="s">
        <v>61</v>
      </c>
      <c r="GB134" t="s">
        <v>61</v>
      </c>
      <c r="GC134" t="s">
        <v>61</v>
      </c>
      <c r="GD134" t="s">
        <v>61</v>
      </c>
      <c r="GE134" t="s">
        <v>61</v>
      </c>
      <c r="GF134" t="s">
        <v>61</v>
      </c>
      <c r="GG134" t="s">
        <v>61</v>
      </c>
      <c r="GH134" t="s">
        <v>61</v>
      </c>
      <c r="GI134" t="s">
        <v>61</v>
      </c>
      <c r="GJ134" t="s">
        <v>61</v>
      </c>
      <c r="GK134" t="s">
        <v>61</v>
      </c>
      <c r="GL134" t="s">
        <v>61</v>
      </c>
      <c r="GM134" t="s">
        <v>61</v>
      </c>
      <c r="GN134" t="s">
        <v>61</v>
      </c>
      <c r="GO134" t="s">
        <v>61</v>
      </c>
      <c r="GP134" t="s">
        <v>61</v>
      </c>
      <c r="GQ134" t="s">
        <v>61</v>
      </c>
      <c r="GR134" t="s">
        <v>61</v>
      </c>
      <c r="GS134" t="s">
        <v>61</v>
      </c>
      <c r="GT134" t="s">
        <v>61</v>
      </c>
      <c r="GU134" t="s">
        <v>61</v>
      </c>
      <c r="GV134" t="s">
        <v>61</v>
      </c>
      <c r="GW134" t="s">
        <v>61</v>
      </c>
      <c r="GX134" t="s">
        <v>61</v>
      </c>
      <c r="GY134" t="s">
        <v>61</v>
      </c>
      <c r="GZ134" t="s">
        <v>61</v>
      </c>
      <c r="HA134" t="s">
        <v>61</v>
      </c>
      <c r="HB134" t="s">
        <v>61</v>
      </c>
      <c r="HC134" t="s">
        <v>61</v>
      </c>
      <c r="HD134" t="s">
        <v>61</v>
      </c>
      <c r="HE134" t="s">
        <v>61</v>
      </c>
      <c r="HF134" t="s">
        <v>61</v>
      </c>
      <c r="HG134" t="s">
        <v>61</v>
      </c>
      <c r="HH134" t="s">
        <v>61</v>
      </c>
      <c r="HI134" t="s">
        <v>61</v>
      </c>
      <c r="HJ134" t="s">
        <v>61</v>
      </c>
      <c r="HK134" t="s">
        <v>61</v>
      </c>
      <c r="HL134" t="s">
        <v>61</v>
      </c>
      <c r="HM134" t="s">
        <v>61</v>
      </c>
      <c r="HN134" t="s">
        <v>61</v>
      </c>
      <c r="HO134" t="s">
        <v>61</v>
      </c>
      <c r="HP134" t="s">
        <v>61</v>
      </c>
      <c r="HQ134" t="s">
        <v>61</v>
      </c>
      <c r="HR134" t="s">
        <v>61</v>
      </c>
      <c r="HS134" t="s">
        <v>61</v>
      </c>
      <c r="HT134" t="s">
        <v>61</v>
      </c>
      <c r="HU134" t="s">
        <v>61</v>
      </c>
      <c r="HV134" t="s">
        <v>61</v>
      </c>
      <c r="HW134" t="s">
        <v>61</v>
      </c>
      <c r="HX134" t="s">
        <v>61</v>
      </c>
      <c r="HY134" t="s">
        <v>61</v>
      </c>
      <c r="HZ134" t="s">
        <v>61</v>
      </c>
      <c r="IA134" t="s">
        <v>61</v>
      </c>
      <c r="IB134" t="s">
        <v>61</v>
      </c>
      <c r="IC134" t="s">
        <v>61</v>
      </c>
      <c r="ID134" t="s">
        <v>61</v>
      </c>
      <c r="IE134" t="s">
        <v>61</v>
      </c>
      <c r="IF134" t="s">
        <v>61</v>
      </c>
      <c r="IG134" t="s">
        <v>61</v>
      </c>
      <c r="IH134" t="s">
        <v>61</v>
      </c>
      <c r="II134" t="s">
        <v>61</v>
      </c>
      <c r="IJ134" t="s">
        <v>61</v>
      </c>
      <c r="IK134" t="s">
        <v>61</v>
      </c>
      <c r="IL134" t="s">
        <v>61</v>
      </c>
      <c r="IM134" t="s">
        <v>61</v>
      </c>
      <c r="IN134" t="s">
        <v>61</v>
      </c>
      <c r="IO134" t="s">
        <v>61</v>
      </c>
      <c r="IP134" t="s">
        <v>61</v>
      </c>
      <c r="IQ134" t="s">
        <v>61</v>
      </c>
      <c r="IR134" t="s">
        <v>61</v>
      </c>
      <c r="IS134" t="s">
        <v>61</v>
      </c>
      <c r="IT134" t="s">
        <v>61</v>
      </c>
      <c r="IU134" t="s">
        <v>61</v>
      </c>
      <c r="IV134" t="s">
        <v>61</v>
      </c>
      <c r="IW134" t="s">
        <v>61</v>
      </c>
      <c r="IX134" t="s">
        <v>61</v>
      </c>
      <c r="IY134" t="s">
        <v>61</v>
      </c>
      <c r="IZ134" t="s">
        <v>61</v>
      </c>
      <c r="JA134" t="s">
        <v>61</v>
      </c>
      <c r="JB134" t="s">
        <v>61</v>
      </c>
      <c r="JC134" t="s">
        <v>61</v>
      </c>
      <c r="JD134" t="s">
        <v>61</v>
      </c>
      <c r="JE134" t="s">
        <v>61</v>
      </c>
      <c r="JF134" t="s">
        <v>61</v>
      </c>
      <c r="JG134" t="s">
        <v>61</v>
      </c>
      <c r="JH134" t="s">
        <v>61</v>
      </c>
      <c r="JI134" t="s">
        <v>61</v>
      </c>
      <c r="JJ134" t="s">
        <v>61</v>
      </c>
      <c r="JK134" t="s">
        <v>61</v>
      </c>
      <c r="JL134" t="s">
        <v>61</v>
      </c>
      <c r="JM134" t="s">
        <v>61</v>
      </c>
      <c r="JN134" t="s">
        <v>61</v>
      </c>
      <c r="JO134" t="s">
        <v>61</v>
      </c>
      <c r="JP134" t="s">
        <v>61</v>
      </c>
      <c r="JQ134" t="s">
        <v>61</v>
      </c>
      <c r="JR134" t="s">
        <v>61</v>
      </c>
      <c r="JS134" t="s">
        <v>61</v>
      </c>
      <c r="JT134" t="s">
        <v>61</v>
      </c>
      <c r="JU134" t="s">
        <v>61</v>
      </c>
      <c r="JV134" t="s">
        <v>61</v>
      </c>
      <c r="JW134" t="s">
        <v>61</v>
      </c>
      <c r="JX134" t="s">
        <v>61</v>
      </c>
      <c r="JY134" t="s">
        <v>61</v>
      </c>
      <c r="JZ134" t="s">
        <v>61</v>
      </c>
      <c r="KA134" t="s">
        <v>61</v>
      </c>
      <c r="KB134" t="s">
        <v>61</v>
      </c>
      <c r="KC134" t="s">
        <v>61</v>
      </c>
      <c r="KD134" t="s">
        <v>61</v>
      </c>
      <c r="KE134" t="s">
        <v>61</v>
      </c>
      <c r="KF134" t="s">
        <v>61</v>
      </c>
      <c r="KG134" t="s">
        <v>61</v>
      </c>
      <c r="KH134" t="s">
        <v>61</v>
      </c>
      <c r="KI134" t="s">
        <v>61</v>
      </c>
      <c r="KJ134" t="s">
        <v>61</v>
      </c>
      <c r="KK134" t="s">
        <v>61</v>
      </c>
      <c r="KL134" t="s">
        <v>61</v>
      </c>
      <c r="KM134" t="s">
        <v>61</v>
      </c>
      <c r="KN134" t="s">
        <v>61</v>
      </c>
      <c r="KO134" t="s">
        <v>61</v>
      </c>
      <c r="KP134" t="s">
        <v>61</v>
      </c>
      <c r="KQ134" t="s">
        <v>61</v>
      </c>
      <c r="KR134" t="s">
        <v>61</v>
      </c>
      <c r="KS134" t="s">
        <v>61</v>
      </c>
      <c r="KT134" t="s">
        <v>61</v>
      </c>
      <c r="KU134" t="s">
        <v>61</v>
      </c>
      <c r="KV134" t="s">
        <v>61</v>
      </c>
      <c r="KW134" t="s">
        <v>61</v>
      </c>
      <c r="KX134" t="s">
        <v>61</v>
      </c>
      <c r="KY134" t="s">
        <v>61</v>
      </c>
      <c r="KZ134" t="s">
        <v>61</v>
      </c>
      <c r="LA134" t="s">
        <v>61</v>
      </c>
      <c r="LB134" t="s">
        <v>61</v>
      </c>
      <c r="LC134" t="s">
        <v>61</v>
      </c>
      <c r="LD134" t="s">
        <v>61</v>
      </c>
      <c r="LE134" t="s">
        <v>61</v>
      </c>
      <c r="LF134" t="s">
        <v>61</v>
      </c>
      <c r="LG134" t="s">
        <v>61</v>
      </c>
      <c r="LH134" t="s">
        <v>61</v>
      </c>
      <c r="LI134" t="s">
        <v>61</v>
      </c>
      <c r="LJ134" t="s">
        <v>61</v>
      </c>
      <c r="LK134" t="s">
        <v>61</v>
      </c>
      <c r="LL134" t="s">
        <v>61</v>
      </c>
      <c r="LM134" t="s">
        <v>61</v>
      </c>
      <c r="LN134" t="s">
        <v>61</v>
      </c>
      <c r="LO134" t="s">
        <v>61</v>
      </c>
      <c r="LP134" t="s">
        <v>61</v>
      </c>
      <c r="LQ134" t="s">
        <v>61</v>
      </c>
      <c r="LR134" t="s">
        <v>61</v>
      </c>
      <c r="LS134" t="s">
        <v>61</v>
      </c>
      <c r="LT134" t="s">
        <v>61</v>
      </c>
      <c r="LU134" t="s">
        <v>61</v>
      </c>
      <c r="LV134" t="s">
        <v>61</v>
      </c>
      <c r="LW134" t="s">
        <v>61</v>
      </c>
      <c r="LX134" t="s">
        <v>61</v>
      </c>
      <c r="LY134" t="s">
        <v>61</v>
      </c>
      <c r="LZ134" t="s">
        <v>61</v>
      </c>
      <c r="MA134" t="s">
        <v>61</v>
      </c>
      <c r="MB134" t="s">
        <v>61</v>
      </c>
      <c r="MC134" t="s">
        <v>61</v>
      </c>
      <c r="MD134" t="s">
        <v>61</v>
      </c>
      <c r="ME134" t="s">
        <v>61</v>
      </c>
      <c r="MF134" t="s">
        <v>61</v>
      </c>
      <c r="MG134" t="s">
        <v>61</v>
      </c>
      <c r="MH134" t="s">
        <v>61</v>
      </c>
      <c r="MI134" t="s">
        <v>61</v>
      </c>
      <c r="MJ134" t="s">
        <v>61</v>
      </c>
      <c r="MK134" t="s">
        <v>61</v>
      </c>
      <c r="ML134" t="s">
        <v>61</v>
      </c>
      <c r="MM134" t="s">
        <v>61</v>
      </c>
      <c r="MN134" t="s">
        <v>61</v>
      </c>
      <c r="MO134" t="s">
        <v>61</v>
      </c>
      <c r="MP134" t="s">
        <v>61</v>
      </c>
      <c r="MQ134" t="s">
        <v>61</v>
      </c>
      <c r="MR134" t="s">
        <v>61</v>
      </c>
      <c r="MS134" t="s">
        <v>61</v>
      </c>
      <c r="MT134" t="s">
        <v>61</v>
      </c>
      <c r="MU134" t="s">
        <v>61</v>
      </c>
      <c r="MV134" t="s">
        <v>61</v>
      </c>
      <c r="MW134" t="s">
        <v>61</v>
      </c>
      <c r="MX134" t="s">
        <v>61</v>
      </c>
      <c r="MY134" t="s">
        <v>61</v>
      </c>
      <c r="MZ134" t="s">
        <v>61</v>
      </c>
      <c r="NA134" t="s">
        <v>61</v>
      </c>
      <c r="NB134" t="s">
        <v>61</v>
      </c>
      <c r="NC134" t="s">
        <v>61</v>
      </c>
      <c r="ND134" t="s">
        <v>61</v>
      </c>
      <c r="NE134" t="s">
        <v>61</v>
      </c>
      <c r="NF134" t="s">
        <v>61</v>
      </c>
      <c r="NG134" t="s">
        <v>61</v>
      </c>
      <c r="NH134" t="s">
        <v>61</v>
      </c>
      <c r="NI134" t="s">
        <v>61</v>
      </c>
      <c r="NJ134" t="s">
        <v>61</v>
      </c>
      <c r="NK134" t="s">
        <v>61</v>
      </c>
      <c r="NL134" t="s">
        <v>61</v>
      </c>
      <c r="NM134" t="s">
        <v>61</v>
      </c>
      <c r="NN134" t="s">
        <v>61</v>
      </c>
      <c r="NO134" t="s">
        <v>61</v>
      </c>
      <c r="NP134" t="s">
        <v>61</v>
      </c>
      <c r="NQ134" t="s">
        <v>61</v>
      </c>
      <c r="NR134" t="s">
        <v>61</v>
      </c>
      <c r="NS134" t="s">
        <v>61</v>
      </c>
      <c r="NT134" t="s">
        <v>61</v>
      </c>
      <c r="NU134" t="s">
        <v>61</v>
      </c>
      <c r="NV134" t="s">
        <v>61</v>
      </c>
      <c r="NW134" t="s">
        <v>61</v>
      </c>
      <c r="NX134" t="s">
        <v>61</v>
      </c>
      <c r="NY134" t="s">
        <v>61</v>
      </c>
      <c r="NZ134" t="s">
        <v>61</v>
      </c>
      <c r="OA134" t="s">
        <v>61</v>
      </c>
      <c r="OB134" t="s">
        <v>61</v>
      </c>
      <c r="OC134" t="s">
        <v>61</v>
      </c>
      <c r="OD134" t="s">
        <v>61</v>
      </c>
      <c r="OE134" t="s">
        <v>61</v>
      </c>
      <c r="OF134" t="s">
        <v>61</v>
      </c>
      <c r="OG134" t="s">
        <v>61</v>
      </c>
      <c r="OH134" t="s">
        <v>61</v>
      </c>
      <c r="OI134" t="s">
        <v>61</v>
      </c>
      <c r="OJ134" t="s">
        <v>61</v>
      </c>
      <c r="OK134" t="s">
        <v>61</v>
      </c>
      <c r="OL134" t="s">
        <v>61</v>
      </c>
      <c r="OM134" t="s">
        <v>61</v>
      </c>
      <c r="ON134" t="s">
        <v>61</v>
      </c>
      <c r="OO134" t="s">
        <v>61</v>
      </c>
      <c r="OP134" t="s">
        <v>61</v>
      </c>
      <c r="OQ134" t="s">
        <v>61</v>
      </c>
      <c r="OR134" t="s">
        <v>61</v>
      </c>
      <c r="OS134" t="s">
        <v>61</v>
      </c>
      <c r="OT134" t="s">
        <v>61</v>
      </c>
      <c r="OU134" t="s">
        <v>61</v>
      </c>
      <c r="OV134" t="s">
        <v>61</v>
      </c>
      <c r="OW134" t="s">
        <v>61</v>
      </c>
      <c r="OX134" t="s">
        <v>61</v>
      </c>
      <c r="OY134" t="s">
        <v>61</v>
      </c>
      <c r="OZ134" t="s">
        <v>61</v>
      </c>
      <c r="PA134" t="s">
        <v>61</v>
      </c>
      <c r="PB134" t="s">
        <v>61</v>
      </c>
      <c r="PC134" t="s">
        <v>61</v>
      </c>
      <c r="PD134" t="s">
        <v>61</v>
      </c>
      <c r="PE134" t="s">
        <v>61</v>
      </c>
      <c r="PF134" t="s">
        <v>61</v>
      </c>
      <c r="PG134" t="s">
        <v>61</v>
      </c>
      <c r="PH134" t="s">
        <v>61</v>
      </c>
      <c r="PI134" t="s">
        <v>61</v>
      </c>
      <c r="PJ134" t="s">
        <v>61</v>
      </c>
      <c r="PK134" t="s">
        <v>61</v>
      </c>
      <c r="PL134" t="s">
        <v>61</v>
      </c>
      <c r="PM134" t="s">
        <v>61</v>
      </c>
      <c r="PN134" t="s">
        <v>61</v>
      </c>
      <c r="PO134" t="s">
        <v>61</v>
      </c>
      <c r="PP134" t="s">
        <v>61</v>
      </c>
      <c r="PQ134" t="s">
        <v>61</v>
      </c>
      <c r="PR134" t="s">
        <v>61</v>
      </c>
      <c r="PS134" t="s">
        <v>61</v>
      </c>
      <c r="PT134" t="s">
        <v>61</v>
      </c>
      <c r="PU134" t="s">
        <v>61</v>
      </c>
      <c r="PV134" t="s">
        <v>61</v>
      </c>
      <c r="PW134" t="s">
        <v>61</v>
      </c>
      <c r="PX134" t="s">
        <v>61</v>
      </c>
      <c r="PY134" t="s">
        <v>61</v>
      </c>
      <c r="PZ134" t="s">
        <v>61</v>
      </c>
      <c r="QA134" t="s">
        <v>61</v>
      </c>
      <c r="QB134" t="s">
        <v>61</v>
      </c>
      <c r="QC134" t="s">
        <v>61</v>
      </c>
      <c r="QD134" t="s">
        <v>61</v>
      </c>
      <c r="QE134" t="s">
        <v>61</v>
      </c>
      <c r="QF134" t="s">
        <v>61</v>
      </c>
      <c r="QG134" t="s">
        <v>61</v>
      </c>
      <c r="QH134" t="s">
        <v>61</v>
      </c>
      <c r="QI134" t="s">
        <v>61</v>
      </c>
      <c r="QJ134" t="s">
        <v>61</v>
      </c>
      <c r="QK134" t="s">
        <v>61</v>
      </c>
      <c r="QL134" t="s">
        <v>61</v>
      </c>
      <c r="QM134" t="s">
        <v>61</v>
      </c>
      <c r="QN134" t="s">
        <v>61</v>
      </c>
      <c r="QO134" t="s">
        <v>61</v>
      </c>
      <c r="QP134" t="s">
        <v>61</v>
      </c>
      <c r="QQ134" t="s">
        <v>61</v>
      </c>
      <c r="QR134" t="s">
        <v>61</v>
      </c>
      <c r="QS134" t="s">
        <v>61</v>
      </c>
      <c r="QT134" t="s">
        <v>61</v>
      </c>
      <c r="QU134" t="s">
        <v>61</v>
      </c>
      <c r="QV134" t="s">
        <v>61</v>
      </c>
      <c r="QW134" t="s">
        <v>61</v>
      </c>
      <c r="QX134" t="s">
        <v>61</v>
      </c>
      <c r="QY134" t="s">
        <v>61</v>
      </c>
      <c r="QZ134" t="s">
        <v>61</v>
      </c>
      <c r="RA134" t="s">
        <v>61</v>
      </c>
      <c r="RB134" t="s">
        <v>61</v>
      </c>
      <c r="RC134" t="s">
        <v>61</v>
      </c>
      <c r="RD134" t="s">
        <v>61</v>
      </c>
      <c r="RE134" t="s">
        <v>61</v>
      </c>
      <c r="RF134" t="s">
        <v>61</v>
      </c>
      <c r="RG134" t="s">
        <v>61</v>
      </c>
      <c r="RH134" t="s">
        <v>61</v>
      </c>
      <c r="RI134" t="s">
        <v>61</v>
      </c>
      <c r="RJ134" t="s">
        <v>61</v>
      </c>
      <c r="RK134" t="s">
        <v>61</v>
      </c>
      <c r="RL134" t="s">
        <v>61</v>
      </c>
      <c r="RM134" t="s">
        <v>61</v>
      </c>
      <c r="RN134" t="s">
        <v>61</v>
      </c>
      <c r="RO134" t="s">
        <v>61</v>
      </c>
      <c r="RP134" t="s">
        <v>61</v>
      </c>
      <c r="RQ134" t="s">
        <v>61</v>
      </c>
      <c r="RR134" t="s">
        <v>61</v>
      </c>
      <c r="RS134" t="s">
        <v>61</v>
      </c>
      <c r="RT134" t="s">
        <v>61</v>
      </c>
      <c r="RU134" t="s">
        <v>61</v>
      </c>
      <c r="RV134" t="s">
        <v>61</v>
      </c>
      <c r="RW134" t="s">
        <v>61</v>
      </c>
      <c r="RX134" t="s">
        <v>61</v>
      </c>
      <c r="RY134" t="s">
        <v>61</v>
      </c>
      <c r="RZ134" t="s">
        <v>61</v>
      </c>
      <c r="SA134" t="s">
        <v>61</v>
      </c>
      <c r="SB134" t="s">
        <v>61</v>
      </c>
      <c r="SC134" t="s">
        <v>61</v>
      </c>
      <c r="SD134" t="s">
        <v>61</v>
      </c>
      <c r="SE134" t="s">
        <v>61</v>
      </c>
      <c r="SF134" t="s">
        <v>61</v>
      </c>
      <c r="SG134" t="s">
        <v>61</v>
      </c>
      <c r="SH134" t="s">
        <v>61</v>
      </c>
      <c r="SI134" t="s">
        <v>61</v>
      </c>
      <c r="SJ134" t="s">
        <v>61</v>
      </c>
      <c r="SK134" t="s">
        <v>61</v>
      </c>
      <c r="SL134" t="s">
        <v>61</v>
      </c>
      <c r="SM134" t="s">
        <v>61</v>
      </c>
      <c r="SN134" t="s">
        <v>61</v>
      </c>
      <c r="SO134" t="s">
        <v>61</v>
      </c>
      <c r="SP134" t="s">
        <v>61</v>
      </c>
      <c r="SQ134" t="s">
        <v>61</v>
      </c>
      <c r="SR134" t="s">
        <v>61</v>
      </c>
      <c r="SS134" t="s">
        <v>61</v>
      </c>
      <c r="ST134" t="s">
        <v>61</v>
      </c>
      <c r="SU134" t="s">
        <v>61</v>
      </c>
      <c r="SV134" t="s">
        <v>61</v>
      </c>
      <c r="SW134" t="s">
        <v>61</v>
      </c>
      <c r="SX134" t="s">
        <v>61</v>
      </c>
      <c r="SY134" t="s">
        <v>61</v>
      </c>
      <c r="SZ134" t="s">
        <v>61</v>
      </c>
      <c r="TA134" t="s">
        <v>61</v>
      </c>
      <c r="TB134" t="s">
        <v>61</v>
      </c>
      <c r="TC134" t="s">
        <v>61</v>
      </c>
      <c r="TD134" t="s">
        <v>61</v>
      </c>
      <c r="TE134" t="s">
        <v>61</v>
      </c>
      <c r="TF134" t="s">
        <v>61</v>
      </c>
      <c r="TG134" t="s">
        <v>61</v>
      </c>
      <c r="TH134" t="s">
        <v>61</v>
      </c>
      <c r="TI134" t="s">
        <v>61</v>
      </c>
      <c r="TJ134" t="s">
        <v>61</v>
      </c>
      <c r="TK134" t="s">
        <v>61</v>
      </c>
      <c r="TL134" t="s">
        <v>61</v>
      </c>
      <c r="TM134" t="s">
        <v>61</v>
      </c>
      <c r="TN134" t="s">
        <v>61</v>
      </c>
      <c r="TO134" t="s">
        <v>61</v>
      </c>
      <c r="TP134" t="s">
        <v>61</v>
      </c>
      <c r="TQ134" t="s">
        <v>61</v>
      </c>
      <c r="TR134" t="s">
        <v>61</v>
      </c>
      <c r="TS134" t="s">
        <v>61</v>
      </c>
      <c r="TT134" t="s">
        <v>61</v>
      </c>
      <c r="TU134" t="s">
        <v>61</v>
      </c>
      <c r="TV134" t="s">
        <v>61</v>
      </c>
      <c r="TW134" t="s">
        <v>61</v>
      </c>
      <c r="TX134" t="s">
        <v>61</v>
      </c>
      <c r="TY134" t="s">
        <v>61</v>
      </c>
      <c r="TZ134" t="s">
        <v>61</v>
      </c>
      <c r="UA134" t="s">
        <v>61</v>
      </c>
      <c r="UB134" t="s">
        <v>61</v>
      </c>
      <c r="UC134" t="s">
        <v>61</v>
      </c>
      <c r="UD134" t="s">
        <v>61</v>
      </c>
      <c r="UE134" t="s">
        <v>61</v>
      </c>
      <c r="UF134" t="s">
        <v>61</v>
      </c>
      <c r="UG134" t="s">
        <v>61</v>
      </c>
      <c r="UH134" t="s">
        <v>61</v>
      </c>
      <c r="UI134" t="s">
        <v>61</v>
      </c>
      <c r="UJ134" t="s">
        <v>61</v>
      </c>
      <c r="UK134" t="s">
        <v>61</v>
      </c>
      <c r="UL134" t="s">
        <v>61</v>
      </c>
      <c r="UM134" t="s">
        <v>61</v>
      </c>
      <c r="UN134" t="s">
        <v>61</v>
      </c>
      <c r="UO134" t="s">
        <v>61</v>
      </c>
      <c r="UP134" t="s">
        <v>61</v>
      </c>
      <c r="UQ134" t="s">
        <v>61</v>
      </c>
      <c r="UR134" t="s">
        <v>61</v>
      </c>
      <c r="US134" t="s">
        <v>61</v>
      </c>
      <c r="UT134" t="s">
        <v>61</v>
      </c>
      <c r="UU134" t="s">
        <v>61</v>
      </c>
      <c r="UV134" t="s">
        <v>61</v>
      </c>
      <c r="UW134" t="s">
        <v>61</v>
      </c>
      <c r="UX134" t="s">
        <v>61</v>
      </c>
      <c r="UY134" t="s">
        <v>61</v>
      </c>
      <c r="UZ134" t="s">
        <v>61</v>
      </c>
      <c r="VA134" t="s">
        <v>61</v>
      </c>
      <c r="VB134" t="s">
        <v>61</v>
      </c>
      <c r="VC134" t="s">
        <v>61</v>
      </c>
      <c r="VD134" t="s">
        <v>61</v>
      </c>
      <c r="VE134" t="s">
        <v>61</v>
      </c>
      <c r="VF134" t="s">
        <v>61</v>
      </c>
      <c r="VG134" t="s">
        <v>61</v>
      </c>
      <c r="VH134" t="s">
        <v>61</v>
      </c>
      <c r="VI134" t="s">
        <v>61</v>
      </c>
      <c r="VJ134" t="s">
        <v>61</v>
      </c>
      <c r="VK134" t="s">
        <v>61</v>
      </c>
      <c r="VL134" t="s">
        <v>61</v>
      </c>
      <c r="VM134" t="s">
        <v>61</v>
      </c>
      <c r="VN134" t="s">
        <v>61</v>
      </c>
      <c r="VO134" t="s">
        <v>61</v>
      </c>
      <c r="VP134" t="s">
        <v>61</v>
      </c>
      <c r="VQ134" t="s">
        <v>61</v>
      </c>
      <c r="VR134" t="s">
        <v>61</v>
      </c>
      <c r="VS134" t="s">
        <v>61</v>
      </c>
      <c r="VT134" t="s">
        <v>61</v>
      </c>
      <c r="VU134" t="s">
        <v>61</v>
      </c>
      <c r="VV134" t="s">
        <v>61</v>
      </c>
      <c r="VW134" t="s">
        <v>61</v>
      </c>
      <c r="VX134" t="s">
        <v>61</v>
      </c>
      <c r="VY134" t="s">
        <v>61</v>
      </c>
      <c r="VZ134" t="s">
        <v>61</v>
      </c>
      <c r="WA134" t="s">
        <v>61</v>
      </c>
      <c r="WB134" t="s">
        <v>61</v>
      </c>
      <c r="WC134" t="s">
        <v>61</v>
      </c>
      <c r="WD134" t="s">
        <v>61</v>
      </c>
      <c r="WE134" t="s">
        <v>61</v>
      </c>
      <c r="WF134" t="s">
        <v>61</v>
      </c>
      <c r="WG134" t="s">
        <v>61</v>
      </c>
      <c r="WH134" t="s">
        <v>61</v>
      </c>
      <c r="WI134" t="s">
        <v>61</v>
      </c>
      <c r="WJ134" t="s">
        <v>61</v>
      </c>
      <c r="WK134" t="s">
        <v>61</v>
      </c>
      <c r="WL134" t="s">
        <v>61</v>
      </c>
      <c r="WM134" t="s">
        <v>61</v>
      </c>
      <c r="WN134" t="s">
        <v>61</v>
      </c>
      <c r="WO134" t="s">
        <v>61</v>
      </c>
      <c r="WP134" t="s">
        <v>61</v>
      </c>
      <c r="WQ134" t="s">
        <v>61</v>
      </c>
      <c r="WR134" t="s">
        <v>61</v>
      </c>
      <c r="WS134" t="s">
        <v>61</v>
      </c>
      <c r="WT134" t="s">
        <v>61</v>
      </c>
      <c r="WU134" t="s">
        <v>61</v>
      </c>
      <c r="WV134" t="s">
        <v>61</v>
      </c>
      <c r="WW134" t="s">
        <v>61</v>
      </c>
      <c r="WX134" t="s">
        <v>61</v>
      </c>
      <c r="WY134" t="s">
        <v>61</v>
      </c>
      <c r="WZ134" t="s">
        <v>61</v>
      </c>
      <c r="XA134" t="s">
        <v>61</v>
      </c>
      <c r="XB134" t="s">
        <v>61</v>
      </c>
      <c r="XC134" t="s">
        <v>61</v>
      </c>
      <c r="XD134" t="s">
        <v>61</v>
      </c>
      <c r="XE134" t="s">
        <v>61</v>
      </c>
      <c r="XF134" t="s">
        <v>61</v>
      </c>
      <c r="XG134" t="s">
        <v>61</v>
      </c>
      <c r="XH134" t="s">
        <v>61</v>
      </c>
      <c r="XI134" t="s">
        <v>61</v>
      </c>
      <c r="XJ134" t="s">
        <v>61</v>
      </c>
      <c r="XK134" t="s">
        <v>61</v>
      </c>
      <c r="XL134" t="s">
        <v>61</v>
      </c>
      <c r="XM134" t="s">
        <v>61</v>
      </c>
      <c r="XN134" t="s">
        <v>61</v>
      </c>
      <c r="XO134" t="s">
        <v>61</v>
      </c>
      <c r="XP134" t="s">
        <v>61</v>
      </c>
      <c r="XQ134" t="s">
        <v>61</v>
      </c>
      <c r="XR134" t="s">
        <v>61</v>
      </c>
      <c r="XS134" t="s">
        <v>61</v>
      </c>
      <c r="XT134" t="s">
        <v>61</v>
      </c>
      <c r="XU134" t="s">
        <v>61</v>
      </c>
      <c r="XV134" t="s">
        <v>61</v>
      </c>
      <c r="XW134" t="s">
        <v>61</v>
      </c>
      <c r="XX134" t="s">
        <v>61</v>
      </c>
      <c r="XY134" t="s">
        <v>61</v>
      </c>
      <c r="XZ134" t="s">
        <v>61</v>
      </c>
      <c r="YA134" t="s">
        <v>61</v>
      </c>
      <c r="YB134" t="s">
        <v>61</v>
      </c>
      <c r="YC134" t="s">
        <v>61</v>
      </c>
      <c r="YD134" t="s">
        <v>61</v>
      </c>
      <c r="YE134" t="s">
        <v>61</v>
      </c>
      <c r="YF134" t="s">
        <v>61</v>
      </c>
      <c r="YG134" t="s">
        <v>61</v>
      </c>
      <c r="YH134" t="s">
        <v>61</v>
      </c>
      <c r="YI134" t="s">
        <v>61</v>
      </c>
      <c r="YJ134" t="s">
        <v>61</v>
      </c>
      <c r="YK134" t="s">
        <v>61</v>
      </c>
      <c r="YL134" t="s">
        <v>61</v>
      </c>
      <c r="YM134" t="s">
        <v>61</v>
      </c>
      <c r="YN134" t="s">
        <v>61</v>
      </c>
      <c r="YO134" t="s">
        <v>61</v>
      </c>
      <c r="YP134" t="s">
        <v>61</v>
      </c>
      <c r="YQ134" t="s">
        <v>61</v>
      </c>
      <c r="YR134" t="s">
        <v>61</v>
      </c>
      <c r="YS134" t="s">
        <v>61</v>
      </c>
      <c r="YT134" t="s">
        <v>61</v>
      </c>
      <c r="YU134" t="s">
        <v>61</v>
      </c>
      <c r="YV134" t="s">
        <v>61</v>
      </c>
      <c r="YW134" t="s">
        <v>61</v>
      </c>
      <c r="YX134" t="s">
        <v>61</v>
      </c>
      <c r="YY134" t="s">
        <v>61</v>
      </c>
      <c r="YZ134" t="s">
        <v>61</v>
      </c>
      <c r="ZA134" t="s">
        <v>61</v>
      </c>
      <c r="ZB134" t="s">
        <v>61</v>
      </c>
      <c r="ZC134" t="s">
        <v>61</v>
      </c>
      <c r="ZD134" t="s">
        <v>61</v>
      </c>
      <c r="ZE134" t="s">
        <v>61</v>
      </c>
      <c r="ZF134" t="s">
        <v>61</v>
      </c>
      <c r="ZG134" t="s">
        <v>61</v>
      </c>
      <c r="ZH134" t="s">
        <v>61</v>
      </c>
      <c r="ZI134" t="s">
        <v>61</v>
      </c>
      <c r="ZJ134" t="s">
        <v>61</v>
      </c>
      <c r="ZK134" t="s">
        <v>61</v>
      </c>
      <c r="ZL134" t="s">
        <v>61</v>
      </c>
      <c r="ZM134" t="s">
        <v>61</v>
      </c>
      <c r="ZN134" t="s">
        <v>61</v>
      </c>
      <c r="ZO134" t="s">
        <v>61</v>
      </c>
      <c r="ZP134" t="s">
        <v>61</v>
      </c>
      <c r="ZQ134" t="s">
        <v>61</v>
      </c>
      <c r="ZR134" t="s">
        <v>61</v>
      </c>
      <c r="ZS134" t="s">
        <v>61</v>
      </c>
      <c r="ZT134" t="s">
        <v>61</v>
      </c>
      <c r="ZU134" t="s">
        <v>61</v>
      </c>
      <c r="ZV134" t="s">
        <v>61</v>
      </c>
      <c r="ZW134" t="s">
        <v>61</v>
      </c>
      <c r="ZX134" t="s">
        <v>61</v>
      </c>
      <c r="ZY134" t="s">
        <v>61</v>
      </c>
      <c r="ZZ134" t="s">
        <v>61</v>
      </c>
      <c r="AAA134" t="s">
        <v>61</v>
      </c>
      <c r="AAB134" t="s">
        <v>61</v>
      </c>
      <c r="AAC134" t="s">
        <v>61</v>
      </c>
      <c r="AAD134" t="s">
        <v>61</v>
      </c>
      <c r="AAE134" t="s">
        <v>61</v>
      </c>
      <c r="AAF134" t="s">
        <v>61</v>
      </c>
      <c r="AAG134" t="s">
        <v>61</v>
      </c>
      <c r="AAH134" t="s">
        <v>61</v>
      </c>
      <c r="AAI134" t="s">
        <v>61</v>
      </c>
      <c r="AAJ134" t="s">
        <v>61</v>
      </c>
      <c r="AAK134" t="s">
        <v>61</v>
      </c>
      <c r="AAL134" t="s">
        <v>61</v>
      </c>
      <c r="AAM134" t="s">
        <v>61</v>
      </c>
      <c r="AAN134" t="s">
        <v>61</v>
      </c>
      <c r="AAO134" t="s">
        <v>61</v>
      </c>
      <c r="AAP134" t="s">
        <v>61</v>
      </c>
      <c r="AAQ134" t="s">
        <v>61</v>
      </c>
      <c r="AAR134" t="s">
        <v>61</v>
      </c>
      <c r="AAS134" t="s">
        <v>61</v>
      </c>
      <c r="AAT134" t="s">
        <v>61</v>
      </c>
      <c r="AAU134" t="s">
        <v>61</v>
      </c>
      <c r="AAV134" t="s">
        <v>61</v>
      </c>
      <c r="AAW134" t="s">
        <v>61</v>
      </c>
      <c r="AAX134" t="s">
        <v>61</v>
      </c>
      <c r="AAY134" t="s">
        <v>61</v>
      </c>
      <c r="AAZ134" t="s">
        <v>61</v>
      </c>
      <c r="ABA134" t="s">
        <v>61</v>
      </c>
      <c r="ABB134" t="s">
        <v>61</v>
      </c>
      <c r="ABC134" t="s">
        <v>61</v>
      </c>
      <c r="ABD134" t="s">
        <v>61</v>
      </c>
      <c r="ABE134" t="s">
        <v>61</v>
      </c>
      <c r="ABF134" t="s">
        <v>61</v>
      </c>
      <c r="ABG134" t="s">
        <v>61</v>
      </c>
      <c r="ABH134" t="s">
        <v>61</v>
      </c>
      <c r="ABI134" t="s">
        <v>61</v>
      </c>
      <c r="ABJ134" t="s">
        <v>61</v>
      </c>
      <c r="ABK134" t="s">
        <v>61</v>
      </c>
      <c r="ABL134" t="s">
        <v>61</v>
      </c>
      <c r="ABM134" t="s">
        <v>61</v>
      </c>
      <c r="ABN134" t="s">
        <v>61</v>
      </c>
      <c r="ABO134" t="s">
        <v>61</v>
      </c>
      <c r="ABP134" t="s">
        <v>61</v>
      </c>
      <c r="ABQ134" t="s">
        <v>61</v>
      </c>
      <c r="ABR134" t="s">
        <v>61</v>
      </c>
      <c r="ABS134" t="s">
        <v>61</v>
      </c>
      <c r="ABT134" t="s">
        <v>61</v>
      </c>
      <c r="ABU134" t="s">
        <v>61</v>
      </c>
      <c r="ABV134" t="s">
        <v>61</v>
      </c>
      <c r="ABW134" t="s">
        <v>61</v>
      </c>
      <c r="ABX134" t="s">
        <v>61</v>
      </c>
      <c r="ABY134" t="s">
        <v>61</v>
      </c>
      <c r="ABZ134" t="s">
        <v>61</v>
      </c>
      <c r="ACA134" t="s">
        <v>61</v>
      </c>
      <c r="ACB134" t="s">
        <v>61</v>
      </c>
      <c r="ACC134" t="s">
        <v>61</v>
      </c>
      <c r="ACD134" t="s">
        <v>61</v>
      </c>
      <c r="ACE134" t="s">
        <v>61</v>
      </c>
      <c r="ACF134" t="s">
        <v>61</v>
      </c>
      <c r="ACG134" t="s">
        <v>61</v>
      </c>
      <c r="ACH134" t="s">
        <v>61</v>
      </c>
      <c r="ACI134" t="s">
        <v>61</v>
      </c>
      <c r="ACJ134" t="s">
        <v>61</v>
      </c>
      <c r="ACK134" t="s">
        <v>61</v>
      </c>
      <c r="ACL134" t="s">
        <v>61</v>
      </c>
      <c r="ACM134" t="s">
        <v>61</v>
      </c>
      <c r="ACN134" t="s">
        <v>61</v>
      </c>
      <c r="ACO134" t="s">
        <v>61</v>
      </c>
      <c r="ACP134" t="s">
        <v>61</v>
      </c>
      <c r="ACQ134" t="s">
        <v>61</v>
      </c>
      <c r="ACR134" t="s">
        <v>61</v>
      </c>
      <c r="ACS134" t="s">
        <v>61</v>
      </c>
      <c r="ACT134" t="s">
        <v>61</v>
      </c>
      <c r="ACU134" t="s">
        <v>61</v>
      </c>
      <c r="ACV134" t="s">
        <v>61</v>
      </c>
      <c r="ACW134" t="s">
        <v>61</v>
      </c>
      <c r="ACX134" t="s">
        <v>61</v>
      </c>
      <c r="ACY134" t="s">
        <v>61</v>
      </c>
      <c r="ACZ134" t="s">
        <v>61</v>
      </c>
      <c r="ADA134" t="s">
        <v>61</v>
      </c>
      <c r="ADB134" t="s">
        <v>61</v>
      </c>
      <c r="ADC134" t="s">
        <v>61</v>
      </c>
      <c r="ADD134" t="s">
        <v>61</v>
      </c>
      <c r="ADE134" t="s">
        <v>61</v>
      </c>
      <c r="ADF134" t="s">
        <v>61</v>
      </c>
      <c r="ADG134" t="s">
        <v>61</v>
      </c>
      <c r="ADH134" t="s">
        <v>61</v>
      </c>
      <c r="ADI134" t="s">
        <v>61</v>
      </c>
      <c r="ADJ134" t="s">
        <v>61</v>
      </c>
      <c r="ADK134" t="s">
        <v>61</v>
      </c>
      <c r="ADL134" t="s">
        <v>61</v>
      </c>
      <c r="ADM134" t="s">
        <v>61</v>
      </c>
      <c r="ADN134" t="s">
        <v>61</v>
      </c>
      <c r="ADO134" t="s">
        <v>61</v>
      </c>
      <c r="ADP134" t="s">
        <v>61</v>
      </c>
      <c r="ADQ134" t="s">
        <v>61</v>
      </c>
      <c r="ADR134" t="s">
        <v>61</v>
      </c>
      <c r="ADS134" t="s">
        <v>61</v>
      </c>
      <c r="ADT134" t="s">
        <v>61</v>
      </c>
      <c r="ADU134" t="s">
        <v>61</v>
      </c>
      <c r="ADV134" t="s">
        <v>61</v>
      </c>
      <c r="ADW134" t="s">
        <v>61</v>
      </c>
      <c r="ADX134" t="s">
        <v>61</v>
      </c>
      <c r="ADY134" t="s">
        <v>61</v>
      </c>
      <c r="ADZ134" t="s">
        <v>61</v>
      </c>
      <c r="AEA134" t="s">
        <v>61</v>
      </c>
      <c r="AEB134" t="s">
        <v>61</v>
      </c>
      <c r="AEC134" t="s">
        <v>61</v>
      </c>
      <c r="AED134" t="s">
        <v>61</v>
      </c>
      <c r="AEE134" t="s">
        <v>61</v>
      </c>
      <c r="AEF134" t="s">
        <v>61</v>
      </c>
      <c r="AEG134" t="s">
        <v>61</v>
      </c>
      <c r="AEH134" t="s">
        <v>61</v>
      </c>
      <c r="AEI134" t="s">
        <v>61</v>
      </c>
      <c r="AEJ134" t="s">
        <v>61</v>
      </c>
      <c r="AEK134" t="s">
        <v>61</v>
      </c>
      <c r="AEL134" t="s">
        <v>61</v>
      </c>
      <c r="AEM134" t="s">
        <v>61</v>
      </c>
      <c r="AEN134" t="s">
        <v>61</v>
      </c>
      <c r="AEO134" t="s">
        <v>61</v>
      </c>
      <c r="AEP134" t="s">
        <v>61</v>
      </c>
      <c r="AEQ134" t="s">
        <v>61</v>
      </c>
      <c r="AER134" t="s">
        <v>61</v>
      </c>
      <c r="AES134" t="s">
        <v>61</v>
      </c>
      <c r="AET134" t="s">
        <v>61</v>
      </c>
      <c r="AEU134" t="s">
        <v>61</v>
      </c>
      <c r="AEV134" t="s">
        <v>61</v>
      </c>
      <c r="AEW134" t="s">
        <v>61</v>
      </c>
      <c r="AEX134" t="s">
        <v>61</v>
      </c>
      <c r="AEY134" t="s">
        <v>61</v>
      </c>
      <c r="AEZ134" t="s">
        <v>61</v>
      </c>
      <c r="AFA134" t="s">
        <v>61</v>
      </c>
      <c r="AFB134" t="s">
        <v>61</v>
      </c>
      <c r="AFC134" t="s">
        <v>61</v>
      </c>
      <c r="AFD134" t="s">
        <v>61</v>
      </c>
      <c r="AFE134" t="s">
        <v>61</v>
      </c>
      <c r="AFF134" t="s">
        <v>61</v>
      </c>
      <c r="AFG134" t="s">
        <v>61</v>
      </c>
      <c r="AFH134" t="s">
        <v>61</v>
      </c>
      <c r="AFI134" t="s">
        <v>61</v>
      </c>
      <c r="AFJ134" t="s">
        <v>61</v>
      </c>
      <c r="AFK134" t="s">
        <v>61</v>
      </c>
      <c r="AFL134" t="s">
        <v>61</v>
      </c>
      <c r="AFM134" t="s">
        <v>61</v>
      </c>
      <c r="AFN134" t="s">
        <v>61</v>
      </c>
      <c r="AFO134" t="s">
        <v>61</v>
      </c>
      <c r="AFP134" t="s">
        <v>61</v>
      </c>
      <c r="AFQ134" t="s">
        <v>61</v>
      </c>
      <c r="AFR134" t="s">
        <v>61</v>
      </c>
      <c r="AFS134" t="s">
        <v>61</v>
      </c>
      <c r="AFT134" t="s">
        <v>61</v>
      </c>
      <c r="AFU134" t="s">
        <v>61</v>
      </c>
      <c r="AFV134" t="s">
        <v>61</v>
      </c>
      <c r="AFW134" t="s">
        <v>61</v>
      </c>
      <c r="AFX134" t="s">
        <v>61</v>
      </c>
      <c r="AFY134" t="s">
        <v>61</v>
      </c>
      <c r="AFZ134" t="s">
        <v>61</v>
      </c>
      <c r="AGA134" t="s">
        <v>61</v>
      </c>
      <c r="AGB134" t="s">
        <v>61</v>
      </c>
      <c r="AGC134" t="s">
        <v>61</v>
      </c>
      <c r="AGD134" t="s">
        <v>61</v>
      </c>
      <c r="AGE134" t="s">
        <v>61</v>
      </c>
      <c r="AGF134" t="s">
        <v>61</v>
      </c>
      <c r="AGG134" t="s">
        <v>61</v>
      </c>
      <c r="AGH134" t="s">
        <v>61</v>
      </c>
      <c r="AGI134" t="s">
        <v>61</v>
      </c>
      <c r="AGJ134" t="s">
        <v>61</v>
      </c>
      <c r="AGK134" t="s">
        <v>61</v>
      </c>
      <c r="AGL134" t="s">
        <v>61</v>
      </c>
      <c r="AGM134" t="s">
        <v>61</v>
      </c>
      <c r="AGN134" t="s">
        <v>61</v>
      </c>
      <c r="AGO134" t="s">
        <v>61</v>
      </c>
      <c r="AGP134" t="s">
        <v>61</v>
      </c>
      <c r="AGQ134" t="s">
        <v>61</v>
      </c>
      <c r="AGR134" t="s">
        <v>61</v>
      </c>
      <c r="AGS134" t="s">
        <v>61</v>
      </c>
      <c r="AGT134" t="s">
        <v>61</v>
      </c>
      <c r="AGU134" t="s">
        <v>61</v>
      </c>
      <c r="AGV134" t="s">
        <v>61</v>
      </c>
      <c r="AGW134" t="s">
        <v>61</v>
      </c>
      <c r="AGX134" t="s">
        <v>61</v>
      </c>
      <c r="AGY134" t="s">
        <v>61</v>
      </c>
      <c r="AGZ134" t="s">
        <v>61</v>
      </c>
      <c r="AHA134" t="s">
        <v>61</v>
      </c>
      <c r="AHB134" t="s">
        <v>61</v>
      </c>
      <c r="AHC134" t="s">
        <v>61</v>
      </c>
      <c r="AHD134" t="s">
        <v>61</v>
      </c>
      <c r="AHE134" t="s">
        <v>61</v>
      </c>
      <c r="AHF134" t="s">
        <v>61</v>
      </c>
      <c r="AHG134" t="s">
        <v>61</v>
      </c>
      <c r="AHH134" t="s">
        <v>61</v>
      </c>
      <c r="AHI134" t="s">
        <v>61</v>
      </c>
      <c r="AHJ134" t="s">
        <v>61</v>
      </c>
      <c r="AHK134" t="s">
        <v>61</v>
      </c>
      <c r="AHL134" t="s">
        <v>61</v>
      </c>
      <c r="AHM134" t="s">
        <v>61</v>
      </c>
      <c r="AHN134" t="s">
        <v>61</v>
      </c>
      <c r="AHO134" t="s">
        <v>61</v>
      </c>
      <c r="AHP134" t="s">
        <v>61</v>
      </c>
      <c r="AHQ134" t="s">
        <v>61</v>
      </c>
      <c r="AHR134" t="s">
        <v>61</v>
      </c>
      <c r="AHS134" t="s">
        <v>61</v>
      </c>
      <c r="AHT134" t="s">
        <v>61</v>
      </c>
      <c r="AHU134" t="s">
        <v>61</v>
      </c>
      <c r="AHV134" t="s">
        <v>61</v>
      </c>
      <c r="AHW134" t="s">
        <v>61</v>
      </c>
      <c r="AHX134" t="s">
        <v>61</v>
      </c>
      <c r="AHY134" t="s">
        <v>61</v>
      </c>
      <c r="AHZ134" t="s">
        <v>61</v>
      </c>
      <c r="AIA134" t="s">
        <v>61</v>
      </c>
      <c r="AIB134" t="s">
        <v>61</v>
      </c>
      <c r="AIC134" t="s">
        <v>61</v>
      </c>
      <c r="AID134" t="s">
        <v>61</v>
      </c>
      <c r="AIE134" t="s">
        <v>61</v>
      </c>
      <c r="AIF134" t="s">
        <v>61</v>
      </c>
      <c r="AIG134" t="s">
        <v>61</v>
      </c>
      <c r="AIH134" t="s">
        <v>61</v>
      </c>
      <c r="AII134" t="s">
        <v>61</v>
      </c>
      <c r="AIJ134" t="s">
        <v>61</v>
      </c>
      <c r="AIK134" t="s">
        <v>61</v>
      </c>
      <c r="AIL134" t="s">
        <v>61</v>
      </c>
      <c r="AIM134" t="s">
        <v>61</v>
      </c>
      <c r="AIN134" t="s">
        <v>61</v>
      </c>
      <c r="AIO134" t="s">
        <v>61</v>
      </c>
      <c r="AIP134" t="s">
        <v>61</v>
      </c>
      <c r="AIQ134" t="s">
        <v>61</v>
      </c>
      <c r="AIR134" t="s">
        <v>61</v>
      </c>
      <c r="AIS134" t="s">
        <v>61</v>
      </c>
      <c r="AIT134" t="s">
        <v>61</v>
      </c>
      <c r="AIU134" t="s">
        <v>61</v>
      </c>
      <c r="AIV134" t="s">
        <v>61</v>
      </c>
      <c r="AIW134" t="s">
        <v>61</v>
      </c>
      <c r="AIX134" t="s">
        <v>61</v>
      </c>
      <c r="AIY134" t="s">
        <v>61</v>
      </c>
      <c r="AIZ134" t="s">
        <v>61</v>
      </c>
      <c r="AJA134" t="s">
        <v>61</v>
      </c>
      <c r="AJB134" t="s">
        <v>61</v>
      </c>
      <c r="AJC134" t="s">
        <v>61</v>
      </c>
      <c r="AJD134" t="s">
        <v>61</v>
      </c>
      <c r="AJE134" t="s">
        <v>61</v>
      </c>
      <c r="AJF134" t="s">
        <v>61</v>
      </c>
      <c r="AJG134" t="s">
        <v>61</v>
      </c>
      <c r="AJH134" t="s">
        <v>61</v>
      </c>
      <c r="AJI134" t="s">
        <v>61</v>
      </c>
      <c r="AJJ134" t="s">
        <v>61</v>
      </c>
      <c r="AJK134" t="s">
        <v>61</v>
      </c>
      <c r="AJL134" t="s">
        <v>61</v>
      </c>
      <c r="AJM134" t="s">
        <v>61</v>
      </c>
      <c r="AJN134" t="s">
        <v>61</v>
      </c>
      <c r="AJO134" t="s">
        <v>61</v>
      </c>
      <c r="AJP134" t="s">
        <v>61</v>
      </c>
      <c r="AJQ134" t="s">
        <v>61</v>
      </c>
      <c r="AJR134" t="s">
        <v>61</v>
      </c>
      <c r="AJS134" t="s">
        <v>61</v>
      </c>
      <c r="AJT134" t="s">
        <v>61</v>
      </c>
      <c r="AJU134" t="s">
        <v>61</v>
      </c>
      <c r="AJV134" t="s">
        <v>61</v>
      </c>
      <c r="AJW134" t="s">
        <v>61</v>
      </c>
      <c r="AJX134" t="s">
        <v>61</v>
      </c>
      <c r="AJY134" t="s">
        <v>61</v>
      </c>
      <c r="AJZ134" t="s">
        <v>61</v>
      </c>
      <c r="AKA134" t="s">
        <v>61</v>
      </c>
      <c r="AKB134" t="s">
        <v>61</v>
      </c>
      <c r="AKC134" t="s">
        <v>61</v>
      </c>
      <c r="AKD134" t="s">
        <v>61</v>
      </c>
      <c r="AKE134" t="s">
        <v>61</v>
      </c>
      <c r="AKF134" t="s">
        <v>61</v>
      </c>
      <c r="AKG134" t="s">
        <v>61</v>
      </c>
      <c r="AKH134" t="s">
        <v>61</v>
      </c>
      <c r="AKI134" t="s">
        <v>61</v>
      </c>
      <c r="AKJ134" t="s">
        <v>61</v>
      </c>
      <c r="AKK134" t="s">
        <v>61</v>
      </c>
      <c r="AKL134" t="s">
        <v>61</v>
      </c>
      <c r="AKM134" t="s">
        <v>61</v>
      </c>
      <c r="AKN134" t="s">
        <v>61</v>
      </c>
      <c r="AKO134" t="s">
        <v>61</v>
      </c>
      <c r="AKP134" t="s">
        <v>61</v>
      </c>
      <c r="AKQ134" t="s">
        <v>61</v>
      </c>
      <c r="AKR134" t="s">
        <v>61</v>
      </c>
      <c r="AKS134" t="s">
        <v>61</v>
      </c>
      <c r="AKT134" t="s">
        <v>61</v>
      </c>
      <c r="AKU134" t="s">
        <v>61</v>
      </c>
      <c r="AKV134" t="s">
        <v>61</v>
      </c>
      <c r="AKW134" t="s">
        <v>61</v>
      </c>
      <c r="AKX134" t="s">
        <v>61</v>
      </c>
      <c r="AKY134" t="s">
        <v>61</v>
      </c>
      <c r="AKZ134" t="s">
        <v>61</v>
      </c>
      <c r="ALA134" t="s">
        <v>61</v>
      </c>
      <c r="ALB134" t="s">
        <v>61</v>
      </c>
      <c r="ALC134" t="s">
        <v>61</v>
      </c>
      <c r="ALD134" t="s">
        <v>61</v>
      </c>
      <c r="ALE134" t="s">
        <v>61</v>
      </c>
      <c r="ALF134" t="s">
        <v>61</v>
      </c>
      <c r="ALG134" t="s">
        <v>61</v>
      </c>
      <c r="ALH134" t="s">
        <v>61</v>
      </c>
      <c r="ALI134" t="s">
        <v>61</v>
      </c>
      <c r="ALJ134" t="s">
        <v>61</v>
      </c>
      <c r="ALK134" t="s">
        <v>61</v>
      </c>
      <c r="ALL134" t="s">
        <v>61</v>
      </c>
      <c r="ALM134" t="s">
        <v>61</v>
      </c>
      <c r="ALN134" t="s">
        <v>61</v>
      </c>
      <c r="ALO134" t="s">
        <v>61</v>
      </c>
      <c r="ALP134" t="s">
        <v>61</v>
      </c>
      <c r="ALQ134" t="s">
        <v>61</v>
      </c>
      <c r="ALR134" t="s">
        <v>61</v>
      </c>
      <c r="ALS134" t="s">
        <v>61</v>
      </c>
      <c r="ALT134" t="s">
        <v>61</v>
      </c>
      <c r="ALU134" t="s">
        <v>61</v>
      </c>
      <c r="ALV134" t="s">
        <v>61</v>
      </c>
      <c r="ALW134" t="s">
        <v>61</v>
      </c>
      <c r="ALX134" t="s">
        <v>61</v>
      </c>
      <c r="ALY134" t="s">
        <v>61</v>
      </c>
      <c r="ALZ134" t="s">
        <v>61</v>
      </c>
      <c r="AMA134" t="s">
        <v>61</v>
      </c>
      <c r="AMB134" t="s">
        <v>61</v>
      </c>
      <c r="AMC134" t="s">
        <v>61</v>
      </c>
      <c r="AMD134" t="s">
        <v>61</v>
      </c>
      <c r="AME134" t="s">
        <v>61</v>
      </c>
      <c r="AMF134" t="s">
        <v>61</v>
      </c>
      <c r="AMG134" t="s">
        <v>61</v>
      </c>
      <c r="AMH134" t="s">
        <v>61</v>
      </c>
      <c r="AMI134" t="s">
        <v>61</v>
      </c>
      <c r="AMJ134" t="s">
        <v>61</v>
      </c>
      <c r="AMK134" t="s">
        <v>61</v>
      </c>
      <c r="AML134" t="s">
        <v>61</v>
      </c>
      <c r="AMM134" t="s">
        <v>61</v>
      </c>
      <c r="AMN134" t="s">
        <v>61</v>
      </c>
      <c r="AMO134" t="s">
        <v>61</v>
      </c>
      <c r="AMP134" t="s">
        <v>61</v>
      </c>
      <c r="AMQ134" t="s">
        <v>61</v>
      </c>
      <c r="AMR134" t="s">
        <v>61</v>
      </c>
      <c r="AMS134" t="s">
        <v>61</v>
      </c>
      <c r="AMT134" t="s">
        <v>61</v>
      </c>
      <c r="AMU134" t="s">
        <v>61</v>
      </c>
      <c r="AMV134" t="s">
        <v>61</v>
      </c>
      <c r="AMW134" t="s">
        <v>61</v>
      </c>
      <c r="AMX134" t="s">
        <v>61</v>
      </c>
      <c r="AMY134" t="s">
        <v>61</v>
      </c>
      <c r="AMZ134" t="s">
        <v>61</v>
      </c>
      <c r="ANA134" t="s">
        <v>61</v>
      </c>
      <c r="ANB134" t="s">
        <v>61</v>
      </c>
      <c r="ANC134" t="s">
        <v>61</v>
      </c>
      <c r="AND134" t="s">
        <v>61</v>
      </c>
      <c r="ANE134" t="s">
        <v>61</v>
      </c>
      <c r="ANF134" t="s">
        <v>61</v>
      </c>
      <c r="ANG134" t="s">
        <v>61</v>
      </c>
      <c r="ANH134" t="s">
        <v>61</v>
      </c>
      <c r="ANI134" t="s">
        <v>61</v>
      </c>
      <c r="ANJ134" t="s">
        <v>61</v>
      </c>
      <c r="ANK134" t="s">
        <v>61</v>
      </c>
      <c r="ANL134" t="s">
        <v>61</v>
      </c>
      <c r="ANM134" t="s">
        <v>61</v>
      </c>
      <c r="ANN134" t="s">
        <v>61</v>
      </c>
      <c r="ANO134" t="s">
        <v>61</v>
      </c>
      <c r="ANP134" t="s">
        <v>61</v>
      </c>
      <c r="ANQ134" t="s">
        <v>61</v>
      </c>
      <c r="ANR134" t="s">
        <v>61</v>
      </c>
      <c r="ANS134" t="s">
        <v>61</v>
      </c>
      <c r="ANT134" t="s">
        <v>61</v>
      </c>
      <c r="ANU134" t="s">
        <v>61</v>
      </c>
      <c r="ANV134" t="s">
        <v>61</v>
      </c>
      <c r="ANW134" t="s">
        <v>61</v>
      </c>
      <c r="ANX134" t="s">
        <v>61</v>
      </c>
      <c r="ANY134" t="s">
        <v>61</v>
      </c>
      <c r="ANZ134" t="s">
        <v>61</v>
      </c>
      <c r="AOA134" t="s">
        <v>61</v>
      </c>
      <c r="AOB134" t="s">
        <v>61</v>
      </c>
      <c r="AOC134" t="s">
        <v>61</v>
      </c>
      <c r="AOD134" t="s">
        <v>61</v>
      </c>
      <c r="AOE134" t="s">
        <v>61</v>
      </c>
      <c r="AOF134" t="s">
        <v>61</v>
      </c>
      <c r="AOG134" t="s">
        <v>61</v>
      </c>
      <c r="AOH134" t="s">
        <v>61</v>
      </c>
      <c r="AOI134" t="s">
        <v>61</v>
      </c>
      <c r="AOJ134" t="s">
        <v>61</v>
      </c>
      <c r="AOK134" t="s">
        <v>61</v>
      </c>
      <c r="AOL134" t="s">
        <v>61</v>
      </c>
      <c r="AOM134" t="s">
        <v>61</v>
      </c>
      <c r="AON134" t="s">
        <v>61</v>
      </c>
      <c r="AOO134" t="s">
        <v>61</v>
      </c>
      <c r="AOP134" t="s">
        <v>61</v>
      </c>
      <c r="AOQ134" t="s">
        <v>61</v>
      </c>
      <c r="AOR134" t="s">
        <v>61</v>
      </c>
      <c r="AOS134" t="s">
        <v>61</v>
      </c>
      <c r="AOT134" t="s">
        <v>61</v>
      </c>
      <c r="AOU134" t="s">
        <v>61</v>
      </c>
      <c r="AOV134" t="s">
        <v>61</v>
      </c>
      <c r="AOW134" t="s">
        <v>61</v>
      </c>
      <c r="AOX134" t="s">
        <v>61</v>
      </c>
      <c r="AOY134" t="s">
        <v>61</v>
      </c>
      <c r="AOZ134" t="s">
        <v>61</v>
      </c>
      <c r="APA134" t="s">
        <v>61</v>
      </c>
      <c r="APB134" t="s">
        <v>61</v>
      </c>
      <c r="APC134" t="s">
        <v>61</v>
      </c>
      <c r="APD134" t="s">
        <v>61</v>
      </c>
      <c r="APE134" t="s">
        <v>61</v>
      </c>
      <c r="APF134" t="s">
        <v>61</v>
      </c>
      <c r="APG134" t="s">
        <v>61</v>
      </c>
      <c r="APH134" t="s">
        <v>61</v>
      </c>
      <c r="API134" t="s">
        <v>61</v>
      </c>
      <c r="APJ134" t="s">
        <v>61</v>
      </c>
      <c r="APK134" t="s">
        <v>61</v>
      </c>
      <c r="APL134" t="s">
        <v>61</v>
      </c>
      <c r="APM134" t="s">
        <v>61</v>
      </c>
      <c r="APN134" t="s">
        <v>61</v>
      </c>
      <c r="APO134" t="s">
        <v>61</v>
      </c>
      <c r="APP134" t="s">
        <v>61</v>
      </c>
      <c r="APQ134" t="s">
        <v>61</v>
      </c>
      <c r="APR134" t="s">
        <v>61</v>
      </c>
      <c r="APS134" t="s">
        <v>61</v>
      </c>
      <c r="APT134" t="s">
        <v>61</v>
      </c>
      <c r="APU134" t="s">
        <v>61</v>
      </c>
      <c r="APV134" t="s">
        <v>61</v>
      </c>
      <c r="APW134" t="s">
        <v>61</v>
      </c>
      <c r="APX134" t="s">
        <v>61</v>
      </c>
      <c r="APY134" t="s">
        <v>61</v>
      </c>
      <c r="APZ134" t="s">
        <v>61</v>
      </c>
      <c r="AQA134" t="s">
        <v>61</v>
      </c>
      <c r="AQB134" t="s">
        <v>61</v>
      </c>
      <c r="AQC134" t="s">
        <v>61</v>
      </c>
      <c r="AQD134" t="s">
        <v>61</v>
      </c>
      <c r="AQE134" t="s">
        <v>61</v>
      </c>
      <c r="AQF134" t="s">
        <v>61</v>
      </c>
      <c r="AQG134" t="s">
        <v>61</v>
      </c>
      <c r="AQH134" t="s">
        <v>61</v>
      </c>
      <c r="AQI134" t="s">
        <v>61</v>
      </c>
      <c r="AQJ134" t="s">
        <v>61</v>
      </c>
      <c r="AQK134" t="s">
        <v>61</v>
      </c>
      <c r="AQL134" t="s">
        <v>61</v>
      </c>
      <c r="AQM134" t="s">
        <v>61</v>
      </c>
      <c r="AQN134" t="s">
        <v>61</v>
      </c>
      <c r="AQO134" t="s">
        <v>61</v>
      </c>
      <c r="AQP134" t="s">
        <v>61</v>
      </c>
      <c r="AQQ134" t="s">
        <v>61</v>
      </c>
      <c r="AQR134" t="s">
        <v>61</v>
      </c>
      <c r="AQS134" t="s">
        <v>61</v>
      </c>
      <c r="AQT134" t="s">
        <v>61</v>
      </c>
      <c r="AQU134" t="s">
        <v>61</v>
      </c>
      <c r="AQV134" t="s">
        <v>61</v>
      </c>
      <c r="AQW134" t="s">
        <v>61</v>
      </c>
      <c r="AQX134" t="s">
        <v>61</v>
      </c>
      <c r="AQY134" t="s">
        <v>61</v>
      </c>
      <c r="AQZ134" t="s">
        <v>61</v>
      </c>
      <c r="ARA134" t="s">
        <v>61</v>
      </c>
      <c r="ARB134" t="s">
        <v>61</v>
      </c>
      <c r="ARC134" t="s">
        <v>61</v>
      </c>
      <c r="ARD134" t="s">
        <v>61</v>
      </c>
      <c r="ARE134" t="s">
        <v>61</v>
      </c>
      <c r="ARF134" t="s">
        <v>61</v>
      </c>
      <c r="ARG134" t="s">
        <v>61</v>
      </c>
      <c r="ARH134" t="s">
        <v>61</v>
      </c>
      <c r="ARI134" t="s">
        <v>61</v>
      </c>
      <c r="ARJ134" t="s">
        <v>61</v>
      </c>
      <c r="ARK134" t="s">
        <v>61</v>
      </c>
      <c r="ARL134" t="s">
        <v>61</v>
      </c>
      <c r="ARM134" t="s">
        <v>61</v>
      </c>
      <c r="ARN134" t="s">
        <v>61</v>
      </c>
      <c r="ARO134" t="s">
        <v>61</v>
      </c>
      <c r="ARP134" t="s">
        <v>61</v>
      </c>
      <c r="ARQ134" t="s">
        <v>61</v>
      </c>
      <c r="ARR134" t="s">
        <v>61</v>
      </c>
      <c r="ARS134" t="s">
        <v>61</v>
      </c>
      <c r="ART134" t="s">
        <v>61</v>
      </c>
      <c r="ARU134" t="s">
        <v>61</v>
      </c>
      <c r="ARV134" t="s">
        <v>61</v>
      </c>
      <c r="ARW134" t="s">
        <v>61</v>
      </c>
      <c r="ARX134" t="s">
        <v>61</v>
      </c>
      <c r="ARY134" t="s">
        <v>61</v>
      </c>
      <c r="ARZ134" t="s">
        <v>61</v>
      </c>
      <c r="ASA134" t="s">
        <v>61</v>
      </c>
      <c r="ASB134" t="s">
        <v>61</v>
      </c>
      <c r="ASC134" t="s">
        <v>61</v>
      </c>
      <c r="ASD134" t="s">
        <v>61</v>
      </c>
      <c r="ASE134" t="s">
        <v>61</v>
      </c>
      <c r="ASF134" t="s">
        <v>61</v>
      </c>
      <c r="ASG134" t="s">
        <v>61</v>
      </c>
      <c r="ASH134" t="s">
        <v>61</v>
      </c>
      <c r="ASI134" t="s">
        <v>61</v>
      </c>
      <c r="ASJ134" t="s">
        <v>61</v>
      </c>
      <c r="ASK134" t="s">
        <v>61</v>
      </c>
      <c r="ASL134" t="s">
        <v>61</v>
      </c>
      <c r="ASM134" t="s">
        <v>61</v>
      </c>
      <c r="ASN134" t="s">
        <v>61</v>
      </c>
      <c r="ASO134" t="s">
        <v>61</v>
      </c>
      <c r="ASP134" t="s">
        <v>61</v>
      </c>
      <c r="ASQ134" t="s">
        <v>61</v>
      </c>
      <c r="ASR134" t="s">
        <v>61</v>
      </c>
      <c r="ASS134" t="s">
        <v>61</v>
      </c>
      <c r="AST134" t="s">
        <v>61</v>
      </c>
      <c r="ASU134" t="s">
        <v>61</v>
      </c>
      <c r="ASV134" t="s">
        <v>61</v>
      </c>
      <c r="ASW134" t="s">
        <v>61</v>
      </c>
      <c r="ASX134" t="s">
        <v>61</v>
      </c>
      <c r="ASY134" t="s">
        <v>61</v>
      </c>
      <c r="ASZ134" t="s">
        <v>61</v>
      </c>
      <c r="ATA134" t="s">
        <v>61</v>
      </c>
      <c r="ATB134" t="s">
        <v>61</v>
      </c>
      <c r="ATC134" t="s">
        <v>61</v>
      </c>
      <c r="ATD134" t="s">
        <v>61</v>
      </c>
      <c r="ATE134" t="s">
        <v>61</v>
      </c>
      <c r="ATF134" t="s">
        <v>61</v>
      </c>
      <c r="ATG134" t="s">
        <v>61</v>
      </c>
      <c r="ATH134" t="s">
        <v>61</v>
      </c>
      <c r="ATI134" t="s">
        <v>61</v>
      </c>
      <c r="ATJ134" t="s">
        <v>61</v>
      </c>
      <c r="ATK134" t="s">
        <v>61</v>
      </c>
      <c r="ATL134" t="s">
        <v>61</v>
      </c>
      <c r="ATM134" t="s">
        <v>61</v>
      </c>
      <c r="ATN134" t="s">
        <v>61</v>
      </c>
      <c r="ATO134" t="s">
        <v>61</v>
      </c>
      <c r="ATP134" t="s">
        <v>61</v>
      </c>
      <c r="ATQ134" t="s">
        <v>61</v>
      </c>
      <c r="ATR134" t="s">
        <v>61</v>
      </c>
      <c r="ATS134" t="s">
        <v>61</v>
      </c>
      <c r="ATT134" t="s">
        <v>61</v>
      </c>
      <c r="ATU134" t="s">
        <v>61</v>
      </c>
      <c r="ATV134" t="s">
        <v>61</v>
      </c>
      <c r="ATW134" t="s">
        <v>61</v>
      </c>
      <c r="ATX134" t="s">
        <v>61</v>
      </c>
      <c r="ATY134" t="s">
        <v>61</v>
      </c>
      <c r="ATZ134" t="s">
        <v>61</v>
      </c>
      <c r="AUA134" t="s">
        <v>61</v>
      </c>
      <c r="AUB134" t="s">
        <v>61</v>
      </c>
      <c r="AUC134" t="s">
        <v>61</v>
      </c>
      <c r="AUD134" t="s">
        <v>61</v>
      </c>
      <c r="AUE134" t="s">
        <v>61</v>
      </c>
      <c r="AUF134" t="s">
        <v>61</v>
      </c>
      <c r="AUG134" t="s">
        <v>61</v>
      </c>
      <c r="AUH134" t="s">
        <v>61</v>
      </c>
      <c r="AUI134" t="s">
        <v>61</v>
      </c>
      <c r="AUJ134" t="s">
        <v>61</v>
      </c>
      <c r="AUK134" t="s">
        <v>61</v>
      </c>
      <c r="AUL134" t="s">
        <v>61</v>
      </c>
      <c r="AUM134" t="s">
        <v>61</v>
      </c>
      <c r="AUN134" t="s">
        <v>61</v>
      </c>
      <c r="AUO134" t="s">
        <v>61</v>
      </c>
      <c r="AUP134" t="s">
        <v>61</v>
      </c>
      <c r="AUQ134" t="s">
        <v>61</v>
      </c>
      <c r="AUR134" t="s">
        <v>61</v>
      </c>
      <c r="AUS134" t="s">
        <v>61</v>
      </c>
      <c r="AUT134" t="s">
        <v>61</v>
      </c>
      <c r="AUU134" t="s">
        <v>61</v>
      </c>
      <c r="AUV134" t="s">
        <v>61</v>
      </c>
      <c r="AUW134" t="s">
        <v>61</v>
      </c>
      <c r="AUX134" t="s">
        <v>61</v>
      </c>
      <c r="AUY134" t="s">
        <v>61</v>
      </c>
      <c r="AUZ134" t="s">
        <v>61</v>
      </c>
      <c r="AVA134" t="s">
        <v>61</v>
      </c>
      <c r="AVB134" t="s">
        <v>61</v>
      </c>
      <c r="AVC134" t="s">
        <v>61</v>
      </c>
      <c r="AVD134" t="s">
        <v>61</v>
      </c>
      <c r="AVE134" t="s">
        <v>61</v>
      </c>
      <c r="AVF134" t="s">
        <v>61</v>
      </c>
      <c r="AVG134" t="s">
        <v>61</v>
      </c>
      <c r="AVH134" t="s">
        <v>61</v>
      </c>
      <c r="AVI134" t="s">
        <v>61</v>
      </c>
      <c r="AVJ134" t="s">
        <v>61</v>
      </c>
      <c r="AVK134" t="s">
        <v>61</v>
      </c>
      <c r="AVL134" t="s">
        <v>61</v>
      </c>
      <c r="AVM134" t="s">
        <v>61</v>
      </c>
      <c r="AVN134" t="s">
        <v>61</v>
      </c>
      <c r="AVO134" t="s">
        <v>61</v>
      </c>
      <c r="AVP134" t="s">
        <v>61</v>
      </c>
      <c r="AVQ134" t="s">
        <v>61</v>
      </c>
      <c r="AVR134" t="s">
        <v>61</v>
      </c>
      <c r="AVS134" t="s">
        <v>61</v>
      </c>
      <c r="AVT134" t="s">
        <v>61</v>
      </c>
      <c r="AVU134" t="s">
        <v>61</v>
      </c>
      <c r="AVV134" t="s">
        <v>61</v>
      </c>
      <c r="AVW134" t="s">
        <v>61</v>
      </c>
      <c r="AVX134" t="s">
        <v>61</v>
      </c>
      <c r="AVY134" t="s">
        <v>61</v>
      </c>
      <c r="AVZ134" t="s">
        <v>61</v>
      </c>
      <c r="AWA134" t="s">
        <v>61</v>
      </c>
      <c r="AWB134" t="s">
        <v>61</v>
      </c>
      <c r="AWC134" t="s">
        <v>61</v>
      </c>
      <c r="AWD134" t="s">
        <v>61</v>
      </c>
      <c r="AWE134" t="s">
        <v>61</v>
      </c>
      <c r="AWF134" t="s">
        <v>61</v>
      </c>
      <c r="AWG134" t="s">
        <v>61</v>
      </c>
      <c r="AWH134" t="s">
        <v>61</v>
      </c>
      <c r="AWI134" t="s">
        <v>61</v>
      </c>
      <c r="AWJ134" t="s">
        <v>61</v>
      </c>
      <c r="AWK134" t="s">
        <v>61</v>
      </c>
      <c r="AWL134" t="s">
        <v>61</v>
      </c>
      <c r="AWM134" t="s">
        <v>61</v>
      </c>
      <c r="AWN134" t="s">
        <v>61</v>
      </c>
      <c r="AWO134" t="s">
        <v>61</v>
      </c>
      <c r="AWP134" t="s">
        <v>61</v>
      </c>
      <c r="AWQ134" t="s">
        <v>61</v>
      </c>
      <c r="AWR134" t="s">
        <v>61</v>
      </c>
      <c r="AWS134" t="s">
        <v>61</v>
      </c>
      <c r="AWT134" t="s">
        <v>61</v>
      </c>
      <c r="AWU134" t="s">
        <v>61</v>
      </c>
      <c r="AWV134" t="s">
        <v>61</v>
      </c>
      <c r="AWW134" t="s">
        <v>61</v>
      </c>
      <c r="AWX134" t="s">
        <v>61</v>
      </c>
      <c r="AWY134" t="s">
        <v>61</v>
      </c>
      <c r="AWZ134" t="s">
        <v>61</v>
      </c>
      <c r="AXA134" t="s">
        <v>61</v>
      </c>
      <c r="AXB134" t="s">
        <v>61</v>
      </c>
      <c r="AXC134" t="s">
        <v>61</v>
      </c>
      <c r="AXD134" t="s">
        <v>61</v>
      </c>
      <c r="AXE134" t="s">
        <v>61</v>
      </c>
      <c r="AXF134" t="s">
        <v>61</v>
      </c>
      <c r="AXG134" t="s">
        <v>61</v>
      </c>
      <c r="AXH134" t="s">
        <v>61</v>
      </c>
      <c r="AXI134" t="s">
        <v>61</v>
      </c>
      <c r="AXJ134" t="s">
        <v>61</v>
      </c>
      <c r="AXK134" t="s">
        <v>61</v>
      </c>
      <c r="AXL134" t="s">
        <v>61</v>
      </c>
      <c r="AXM134" t="s">
        <v>61</v>
      </c>
      <c r="AXN134" t="s">
        <v>61</v>
      </c>
      <c r="AXO134" t="s">
        <v>61</v>
      </c>
      <c r="AXP134" t="s">
        <v>61</v>
      </c>
      <c r="AXQ134" t="s">
        <v>61</v>
      </c>
      <c r="AXR134" t="s">
        <v>61</v>
      </c>
      <c r="AXS134" t="s">
        <v>61</v>
      </c>
      <c r="AXT134" t="s">
        <v>61</v>
      </c>
      <c r="AXU134" t="s">
        <v>61</v>
      </c>
      <c r="AXV134" t="s">
        <v>61</v>
      </c>
      <c r="AXW134" t="s">
        <v>61</v>
      </c>
      <c r="AXX134" t="s">
        <v>61</v>
      </c>
      <c r="AXY134" t="s">
        <v>61</v>
      </c>
      <c r="AXZ134" t="s">
        <v>61</v>
      </c>
      <c r="AYA134" t="s">
        <v>61</v>
      </c>
      <c r="AYB134" t="s">
        <v>61</v>
      </c>
      <c r="AYC134" t="s">
        <v>61</v>
      </c>
      <c r="AYD134" t="s">
        <v>61</v>
      </c>
      <c r="AYE134" t="s">
        <v>61</v>
      </c>
      <c r="AYF134" t="s">
        <v>61</v>
      </c>
      <c r="AYG134" t="s">
        <v>61</v>
      </c>
      <c r="AYH134" t="s">
        <v>61</v>
      </c>
      <c r="AYI134" t="s">
        <v>61</v>
      </c>
      <c r="AYJ134" t="s">
        <v>61</v>
      </c>
      <c r="AYK134" t="s">
        <v>61</v>
      </c>
      <c r="AYL134" t="s">
        <v>61</v>
      </c>
      <c r="AYM134" t="s">
        <v>61</v>
      </c>
      <c r="AYN134" t="s">
        <v>61</v>
      </c>
      <c r="AYO134" t="s">
        <v>61</v>
      </c>
      <c r="AYP134" t="s">
        <v>61</v>
      </c>
      <c r="AYQ134" t="s">
        <v>61</v>
      </c>
      <c r="AYR134" t="s">
        <v>61</v>
      </c>
      <c r="AYS134" t="s">
        <v>61</v>
      </c>
      <c r="AYT134" t="s">
        <v>61</v>
      </c>
      <c r="AYU134" t="s">
        <v>61</v>
      </c>
      <c r="AYV134" t="s">
        <v>61</v>
      </c>
      <c r="AYW134" t="s">
        <v>61</v>
      </c>
      <c r="AYX134" t="s">
        <v>61</v>
      </c>
      <c r="AYY134" t="s">
        <v>61</v>
      </c>
      <c r="AYZ134" t="s">
        <v>61</v>
      </c>
      <c r="AZA134" t="s">
        <v>61</v>
      </c>
      <c r="AZB134" t="s">
        <v>61</v>
      </c>
      <c r="AZC134" t="s">
        <v>61</v>
      </c>
      <c r="AZD134" t="s">
        <v>61</v>
      </c>
      <c r="AZE134" t="s">
        <v>61</v>
      </c>
      <c r="AZF134" t="s">
        <v>61</v>
      </c>
      <c r="AZG134" t="s">
        <v>61</v>
      </c>
      <c r="AZH134" t="s">
        <v>61</v>
      </c>
      <c r="AZI134" t="s">
        <v>61</v>
      </c>
      <c r="AZJ134" t="s">
        <v>61</v>
      </c>
      <c r="AZK134" t="s">
        <v>61</v>
      </c>
      <c r="AZL134" t="s">
        <v>61</v>
      </c>
      <c r="AZM134" t="s">
        <v>61</v>
      </c>
      <c r="AZN134" t="s">
        <v>61</v>
      </c>
      <c r="AZO134" t="s">
        <v>61</v>
      </c>
      <c r="AZP134" t="s">
        <v>61</v>
      </c>
      <c r="AZQ134" t="s">
        <v>61</v>
      </c>
      <c r="AZR134" t="s">
        <v>61</v>
      </c>
      <c r="AZS134" t="s">
        <v>61</v>
      </c>
      <c r="AZT134" t="s">
        <v>61</v>
      </c>
      <c r="AZU134" t="s">
        <v>61</v>
      </c>
      <c r="AZV134" t="s">
        <v>61</v>
      </c>
      <c r="AZW134" t="s">
        <v>61</v>
      </c>
      <c r="AZX134" t="s">
        <v>61</v>
      </c>
      <c r="AZY134" t="s">
        <v>61</v>
      </c>
      <c r="AZZ134" t="s">
        <v>61</v>
      </c>
      <c r="BAA134" t="s">
        <v>61</v>
      </c>
      <c r="BAB134" t="s">
        <v>61</v>
      </c>
      <c r="BAC134" t="s">
        <v>61</v>
      </c>
      <c r="BAD134" t="s">
        <v>61</v>
      </c>
      <c r="BAE134" t="s">
        <v>61</v>
      </c>
      <c r="BAF134" t="s">
        <v>61</v>
      </c>
      <c r="BAG134" t="s">
        <v>61</v>
      </c>
      <c r="BAH134" t="s">
        <v>61</v>
      </c>
      <c r="BAI134" t="s">
        <v>61</v>
      </c>
      <c r="BAJ134" t="s">
        <v>61</v>
      </c>
      <c r="BAK134" t="s">
        <v>61</v>
      </c>
      <c r="BAL134" t="s">
        <v>61</v>
      </c>
      <c r="BAM134" t="s">
        <v>61</v>
      </c>
      <c r="BAN134" t="s">
        <v>61</v>
      </c>
      <c r="BAO134" t="s">
        <v>61</v>
      </c>
      <c r="BAP134" t="s">
        <v>61</v>
      </c>
      <c r="BAQ134" t="s">
        <v>61</v>
      </c>
      <c r="BAR134" t="s">
        <v>61</v>
      </c>
      <c r="BAS134" t="s">
        <v>61</v>
      </c>
      <c r="BAT134" t="s">
        <v>61</v>
      </c>
      <c r="BAU134" t="s">
        <v>61</v>
      </c>
      <c r="BAV134" t="s">
        <v>61</v>
      </c>
      <c r="BAW134" t="s">
        <v>61</v>
      </c>
      <c r="BAX134" t="s">
        <v>61</v>
      </c>
      <c r="BAY134" t="s">
        <v>61</v>
      </c>
      <c r="BAZ134" t="s">
        <v>61</v>
      </c>
      <c r="BBA134" t="s">
        <v>61</v>
      </c>
      <c r="BBB134" t="s">
        <v>61</v>
      </c>
      <c r="BBC134" t="s">
        <v>61</v>
      </c>
      <c r="BBD134" t="s">
        <v>61</v>
      </c>
      <c r="BBE134" t="s">
        <v>61</v>
      </c>
      <c r="BBF134" t="s">
        <v>61</v>
      </c>
      <c r="BBG134" t="s">
        <v>61</v>
      </c>
      <c r="BBH134" t="s">
        <v>61</v>
      </c>
      <c r="BBI134" t="s">
        <v>61</v>
      </c>
      <c r="BBJ134" t="s">
        <v>61</v>
      </c>
      <c r="BBK134" t="s">
        <v>61</v>
      </c>
      <c r="BBL134" t="s">
        <v>61</v>
      </c>
      <c r="BBM134" t="s">
        <v>61</v>
      </c>
      <c r="BBN134" t="s">
        <v>61</v>
      </c>
      <c r="BBO134" t="s">
        <v>61</v>
      </c>
      <c r="BBP134" t="s">
        <v>61</v>
      </c>
      <c r="BBQ134" t="s">
        <v>61</v>
      </c>
      <c r="BBR134" t="s">
        <v>61</v>
      </c>
      <c r="BBS134" t="s">
        <v>61</v>
      </c>
      <c r="BBT134" t="s">
        <v>61</v>
      </c>
      <c r="BBU134" t="s">
        <v>61</v>
      </c>
      <c r="BBV134" t="s">
        <v>61</v>
      </c>
      <c r="BBW134" t="s">
        <v>61</v>
      </c>
      <c r="BBX134" t="s">
        <v>61</v>
      </c>
      <c r="BBY134" t="s">
        <v>61</v>
      </c>
      <c r="BBZ134" t="s">
        <v>61</v>
      </c>
      <c r="BCA134" t="s">
        <v>61</v>
      </c>
      <c r="BCB134" t="s">
        <v>61</v>
      </c>
      <c r="BCC134" t="s">
        <v>61</v>
      </c>
      <c r="BCD134" t="s">
        <v>61</v>
      </c>
      <c r="BCE134" t="s">
        <v>61</v>
      </c>
      <c r="BCF134" t="s">
        <v>61</v>
      </c>
      <c r="BCG134" t="s">
        <v>61</v>
      </c>
      <c r="BCH134" t="s">
        <v>61</v>
      </c>
      <c r="BCI134" t="s">
        <v>61</v>
      </c>
      <c r="BCJ134" t="s">
        <v>61</v>
      </c>
      <c r="BCK134" t="s">
        <v>61</v>
      </c>
      <c r="BCL134" t="s">
        <v>61</v>
      </c>
      <c r="BCM134" t="s">
        <v>61</v>
      </c>
      <c r="BCN134" t="s">
        <v>61</v>
      </c>
      <c r="BCO134" t="s">
        <v>61</v>
      </c>
      <c r="BCP134" t="s">
        <v>61</v>
      </c>
      <c r="BCQ134" t="s">
        <v>61</v>
      </c>
      <c r="BCR134" t="s">
        <v>61</v>
      </c>
      <c r="BCS134" t="s">
        <v>61</v>
      </c>
      <c r="BCT134" t="s">
        <v>61</v>
      </c>
      <c r="BCU134" t="s">
        <v>61</v>
      </c>
      <c r="BCV134" t="s">
        <v>61</v>
      </c>
      <c r="BCW134" t="s">
        <v>61</v>
      </c>
      <c r="BCX134" t="s">
        <v>61</v>
      </c>
      <c r="BCY134" t="s">
        <v>61</v>
      </c>
      <c r="BCZ134" t="s">
        <v>61</v>
      </c>
      <c r="BDA134" t="s">
        <v>61</v>
      </c>
      <c r="BDB134" t="s">
        <v>61</v>
      </c>
      <c r="BDC134" t="s">
        <v>61</v>
      </c>
      <c r="BDD134" t="s">
        <v>61</v>
      </c>
      <c r="BDE134" t="s">
        <v>61</v>
      </c>
      <c r="BDF134" t="s">
        <v>61</v>
      </c>
      <c r="BDG134" t="s">
        <v>61</v>
      </c>
      <c r="BDH134" t="s">
        <v>61</v>
      </c>
      <c r="BDI134" t="s">
        <v>61</v>
      </c>
      <c r="BDJ134" t="s">
        <v>61</v>
      </c>
      <c r="BDK134" t="s">
        <v>61</v>
      </c>
      <c r="BDL134" t="s">
        <v>61</v>
      </c>
      <c r="BDM134" t="s">
        <v>61</v>
      </c>
      <c r="BDN134" t="s">
        <v>61</v>
      </c>
      <c r="BDO134" t="s">
        <v>61</v>
      </c>
      <c r="BDP134" t="s">
        <v>61</v>
      </c>
      <c r="BDQ134" t="s">
        <v>61</v>
      </c>
      <c r="BDR134" t="s">
        <v>61</v>
      </c>
      <c r="BDS134" t="s">
        <v>61</v>
      </c>
      <c r="BDT134" t="s">
        <v>61</v>
      </c>
      <c r="BDU134" t="s">
        <v>61</v>
      </c>
      <c r="BDV134" t="s">
        <v>61</v>
      </c>
      <c r="BDW134" t="s">
        <v>61</v>
      </c>
      <c r="BDX134" t="s">
        <v>61</v>
      </c>
      <c r="BDY134" t="s">
        <v>61</v>
      </c>
      <c r="BDZ134" t="s">
        <v>61</v>
      </c>
      <c r="BEA134" t="s">
        <v>61</v>
      </c>
      <c r="BEB134" t="s">
        <v>61</v>
      </c>
      <c r="BEC134" t="s">
        <v>61</v>
      </c>
      <c r="BED134" t="s">
        <v>61</v>
      </c>
      <c r="BEE134" t="s">
        <v>61</v>
      </c>
      <c r="BEF134" t="s">
        <v>61</v>
      </c>
      <c r="BEG134" t="s">
        <v>61</v>
      </c>
      <c r="BEH134" t="s">
        <v>61</v>
      </c>
      <c r="BEI134" t="s">
        <v>61</v>
      </c>
      <c r="BEJ134" t="s">
        <v>61</v>
      </c>
      <c r="BEK134" t="s">
        <v>61</v>
      </c>
      <c r="BEL134" t="s">
        <v>61</v>
      </c>
      <c r="BEM134" t="s">
        <v>61</v>
      </c>
      <c r="BEN134" t="s">
        <v>61</v>
      </c>
      <c r="BEO134" t="s">
        <v>61</v>
      </c>
      <c r="BEP134" t="s">
        <v>61</v>
      </c>
      <c r="BEQ134" t="s">
        <v>61</v>
      </c>
      <c r="BER134" t="s">
        <v>61</v>
      </c>
      <c r="BES134" t="s">
        <v>61</v>
      </c>
      <c r="BET134" t="s">
        <v>61</v>
      </c>
      <c r="BEU134" t="s">
        <v>61</v>
      </c>
      <c r="BEV134" t="s">
        <v>61</v>
      </c>
      <c r="BEW134" t="s">
        <v>61</v>
      </c>
      <c r="BEX134" t="s">
        <v>61</v>
      </c>
      <c r="BEY134" t="s">
        <v>61</v>
      </c>
      <c r="BEZ134" t="s">
        <v>61</v>
      </c>
      <c r="BFA134" t="s">
        <v>61</v>
      </c>
      <c r="BFB134" t="s">
        <v>61</v>
      </c>
      <c r="BFC134" t="s">
        <v>61</v>
      </c>
      <c r="BFD134" t="s">
        <v>61</v>
      </c>
      <c r="BFE134" t="s">
        <v>61</v>
      </c>
      <c r="BFF134" t="s">
        <v>61</v>
      </c>
      <c r="BFG134" t="s">
        <v>61</v>
      </c>
      <c r="BFH134" t="s">
        <v>61</v>
      </c>
      <c r="BFI134" t="s">
        <v>61</v>
      </c>
      <c r="BFJ134" t="s">
        <v>61</v>
      </c>
      <c r="BFK134" t="s">
        <v>61</v>
      </c>
      <c r="BFL134" t="s">
        <v>61</v>
      </c>
      <c r="BFM134" t="s">
        <v>61</v>
      </c>
      <c r="BFN134" t="s">
        <v>61</v>
      </c>
      <c r="BFO134" t="s">
        <v>61</v>
      </c>
      <c r="BFP134" t="s">
        <v>61</v>
      </c>
      <c r="BFQ134" t="s">
        <v>61</v>
      </c>
      <c r="BFR134" t="s">
        <v>61</v>
      </c>
      <c r="BFS134" t="s">
        <v>61</v>
      </c>
      <c r="BFT134" t="s">
        <v>61</v>
      </c>
      <c r="BFU134" t="s">
        <v>61</v>
      </c>
      <c r="BFV134" t="s">
        <v>61</v>
      </c>
      <c r="BFW134" t="s">
        <v>61</v>
      </c>
      <c r="BFX134" t="s">
        <v>61</v>
      </c>
      <c r="BFY134" t="s">
        <v>61</v>
      </c>
      <c r="BFZ134" t="s">
        <v>61</v>
      </c>
      <c r="BGA134" t="s">
        <v>61</v>
      </c>
      <c r="BGB134" t="s">
        <v>61</v>
      </c>
      <c r="BGC134" t="s">
        <v>61</v>
      </c>
      <c r="BGD134" t="s">
        <v>61</v>
      </c>
      <c r="BGE134" t="s">
        <v>61</v>
      </c>
      <c r="BGF134" t="s">
        <v>61</v>
      </c>
      <c r="BGG134" t="s">
        <v>61</v>
      </c>
      <c r="BGH134" t="s">
        <v>61</v>
      </c>
      <c r="BGI134" t="s">
        <v>61</v>
      </c>
      <c r="BGJ134" t="s">
        <v>61</v>
      </c>
      <c r="BGK134" t="s">
        <v>61</v>
      </c>
      <c r="BGL134" t="s">
        <v>61</v>
      </c>
      <c r="BGM134" t="s">
        <v>61</v>
      </c>
      <c r="BGN134" t="s">
        <v>61</v>
      </c>
      <c r="BGO134" t="s">
        <v>61</v>
      </c>
      <c r="BGP134" t="s">
        <v>61</v>
      </c>
      <c r="BGQ134" t="s">
        <v>61</v>
      </c>
      <c r="BGR134" t="s">
        <v>61</v>
      </c>
      <c r="BGS134" t="s">
        <v>61</v>
      </c>
      <c r="BGT134" t="s">
        <v>61</v>
      </c>
      <c r="BGU134" t="s">
        <v>61</v>
      </c>
      <c r="BGV134" t="s">
        <v>61</v>
      </c>
      <c r="BGW134" t="s">
        <v>61</v>
      </c>
      <c r="BGX134" t="s">
        <v>61</v>
      </c>
      <c r="BGY134" t="s">
        <v>61</v>
      </c>
      <c r="BGZ134" t="s">
        <v>61</v>
      </c>
      <c r="BHA134" t="s">
        <v>61</v>
      </c>
      <c r="BHB134" t="s">
        <v>61</v>
      </c>
      <c r="BHC134" t="s">
        <v>61</v>
      </c>
      <c r="BHD134" t="s">
        <v>61</v>
      </c>
      <c r="BHE134" t="s">
        <v>61</v>
      </c>
      <c r="BHF134" t="s">
        <v>61</v>
      </c>
      <c r="BHG134" t="s">
        <v>61</v>
      </c>
      <c r="BHH134" t="s">
        <v>61</v>
      </c>
      <c r="BHI134" t="s">
        <v>61</v>
      </c>
      <c r="BHJ134" t="s">
        <v>61</v>
      </c>
      <c r="BHK134" t="s">
        <v>61</v>
      </c>
      <c r="BHL134" t="s">
        <v>61</v>
      </c>
      <c r="BHM134" t="s">
        <v>61</v>
      </c>
      <c r="BHN134" t="s">
        <v>61</v>
      </c>
      <c r="BHO134" t="s">
        <v>61</v>
      </c>
      <c r="BHP134" t="s">
        <v>61</v>
      </c>
      <c r="BHQ134" t="s">
        <v>61</v>
      </c>
      <c r="BHR134" t="s">
        <v>61</v>
      </c>
      <c r="BHS134" t="s">
        <v>61</v>
      </c>
      <c r="BHT134" t="s">
        <v>61</v>
      </c>
      <c r="BHU134" t="s">
        <v>61</v>
      </c>
      <c r="BHV134" t="s">
        <v>61</v>
      </c>
      <c r="BHW134" t="s">
        <v>61</v>
      </c>
      <c r="BHX134" t="s">
        <v>61</v>
      </c>
      <c r="BHY134" t="s">
        <v>61</v>
      </c>
      <c r="BHZ134" t="s">
        <v>61</v>
      </c>
      <c r="BIA134" t="s">
        <v>61</v>
      </c>
      <c r="BIB134" t="s">
        <v>61</v>
      </c>
      <c r="BIC134" t="s">
        <v>61</v>
      </c>
      <c r="BID134" t="s">
        <v>61</v>
      </c>
      <c r="BIE134" t="s">
        <v>61</v>
      </c>
      <c r="BIF134" t="s">
        <v>61</v>
      </c>
      <c r="BIG134" t="s">
        <v>61</v>
      </c>
      <c r="BIH134" t="s">
        <v>61</v>
      </c>
      <c r="BII134" t="s">
        <v>61</v>
      </c>
      <c r="BIJ134" t="s">
        <v>61</v>
      </c>
      <c r="BIK134" t="s">
        <v>61</v>
      </c>
      <c r="BIL134" t="s">
        <v>61</v>
      </c>
      <c r="BIM134" t="s">
        <v>61</v>
      </c>
      <c r="BIN134" t="s">
        <v>61</v>
      </c>
      <c r="BIO134" t="s">
        <v>61</v>
      </c>
      <c r="BIP134" t="s">
        <v>61</v>
      </c>
      <c r="BIQ134" t="s">
        <v>61</v>
      </c>
      <c r="BIR134" t="s">
        <v>61</v>
      </c>
      <c r="BIS134" t="s">
        <v>61</v>
      </c>
      <c r="BIT134" t="s">
        <v>61</v>
      </c>
      <c r="BIU134" t="s">
        <v>61</v>
      </c>
      <c r="BIV134" t="s">
        <v>61</v>
      </c>
      <c r="BIW134" t="s">
        <v>61</v>
      </c>
      <c r="BIX134" t="s">
        <v>61</v>
      </c>
      <c r="BIY134" t="s">
        <v>61</v>
      </c>
      <c r="BIZ134" t="s">
        <v>61</v>
      </c>
      <c r="BJA134" t="s">
        <v>61</v>
      </c>
      <c r="BJB134" t="s">
        <v>61</v>
      </c>
      <c r="BJC134" t="s">
        <v>61</v>
      </c>
      <c r="BJD134" t="s">
        <v>61</v>
      </c>
      <c r="BJE134" t="s">
        <v>61</v>
      </c>
      <c r="BJF134" t="s">
        <v>61</v>
      </c>
      <c r="BJG134" t="s">
        <v>61</v>
      </c>
      <c r="BJH134" t="s">
        <v>61</v>
      </c>
      <c r="BJI134" t="s">
        <v>61</v>
      </c>
      <c r="BJJ134" t="s">
        <v>61</v>
      </c>
      <c r="BJK134" t="s">
        <v>61</v>
      </c>
      <c r="BJL134" t="s">
        <v>61</v>
      </c>
      <c r="BJM134" t="s">
        <v>61</v>
      </c>
      <c r="BJN134" t="s">
        <v>61</v>
      </c>
      <c r="BJO134" t="s">
        <v>61</v>
      </c>
      <c r="BJP134" t="s">
        <v>61</v>
      </c>
      <c r="BJQ134" t="s">
        <v>61</v>
      </c>
      <c r="BJR134" t="s">
        <v>61</v>
      </c>
      <c r="BJS134" t="s">
        <v>61</v>
      </c>
      <c r="BJT134" t="s">
        <v>61</v>
      </c>
      <c r="BJU134" t="s">
        <v>61</v>
      </c>
      <c r="BJV134" t="s">
        <v>61</v>
      </c>
      <c r="BJW134" t="s">
        <v>61</v>
      </c>
      <c r="BJX134" t="s">
        <v>61</v>
      </c>
      <c r="BJY134" t="s">
        <v>61</v>
      </c>
      <c r="BJZ134" t="s">
        <v>61</v>
      </c>
      <c r="BKA134" t="s">
        <v>61</v>
      </c>
      <c r="BKB134" t="s">
        <v>61</v>
      </c>
      <c r="BKC134" t="s">
        <v>61</v>
      </c>
      <c r="BKD134" t="s">
        <v>61</v>
      </c>
      <c r="BKE134" t="s">
        <v>61</v>
      </c>
      <c r="BKF134" t="s">
        <v>61</v>
      </c>
      <c r="BKG134" t="s">
        <v>61</v>
      </c>
      <c r="BKH134" t="s">
        <v>61</v>
      </c>
      <c r="BKI134" t="s">
        <v>61</v>
      </c>
      <c r="BKJ134" t="s">
        <v>61</v>
      </c>
      <c r="BKK134" t="s">
        <v>61</v>
      </c>
      <c r="BKL134" t="s">
        <v>61</v>
      </c>
      <c r="BKM134" t="s">
        <v>61</v>
      </c>
      <c r="BKN134" t="s">
        <v>61</v>
      </c>
      <c r="BKO134" t="s">
        <v>61</v>
      </c>
      <c r="BKP134" t="s">
        <v>61</v>
      </c>
      <c r="BKQ134" t="s">
        <v>61</v>
      </c>
      <c r="BKR134" t="s">
        <v>61</v>
      </c>
      <c r="BKS134" t="s">
        <v>61</v>
      </c>
      <c r="BKT134" t="s">
        <v>61</v>
      </c>
      <c r="BKU134" t="s">
        <v>61</v>
      </c>
      <c r="BKV134" t="s">
        <v>61</v>
      </c>
      <c r="BKW134" t="s">
        <v>61</v>
      </c>
      <c r="BKX134" t="s">
        <v>61</v>
      </c>
      <c r="BKY134" t="s">
        <v>61</v>
      </c>
      <c r="BKZ134" t="s">
        <v>61</v>
      </c>
      <c r="BLA134" t="s">
        <v>61</v>
      </c>
      <c r="BLB134" t="s">
        <v>61</v>
      </c>
      <c r="BLC134" t="s">
        <v>61</v>
      </c>
      <c r="BLD134" t="s">
        <v>61</v>
      </c>
      <c r="BLE134" t="s">
        <v>61</v>
      </c>
      <c r="BLF134" t="s">
        <v>61</v>
      </c>
      <c r="BLG134" t="s">
        <v>61</v>
      </c>
      <c r="BLH134" t="s">
        <v>61</v>
      </c>
      <c r="BLI134" t="s">
        <v>61</v>
      </c>
      <c r="BLJ134" t="s">
        <v>61</v>
      </c>
      <c r="BLK134" t="s">
        <v>61</v>
      </c>
      <c r="BLL134" t="s">
        <v>61</v>
      </c>
      <c r="BLM134" t="s">
        <v>61</v>
      </c>
      <c r="BLN134" t="s">
        <v>61</v>
      </c>
      <c r="BLO134" t="s">
        <v>61</v>
      </c>
      <c r="BLP134" t="s">
        <v>61</v>
      </c>
      <c r="BLQ134" t="s">
        <v>61</v>
      </c>
      <c r="BLR134" t="s">
        <v>61</v>
      </c>
      <c r="BLS134" t="s">
        <v>61</v>
      </c>
      <c r="BLT134" t="s">
        <v>61</v>
      </c>
      <c r="BLU134" t="s">
        <v>61</v>
      </c>
      <c r="BLV134" t="s">
        <v>61</v>
      </c>
      <c r="BLW134" t="s">
        <v>61</v>
      </c>
      <c r="BLX134" t="s">
        <v>61</v>
      </c>
      <c r="BLY134" t="s">
        <v>61</v>
      </c>
      <c r="BLZ134" t="s">
        <v>61</v>
      </c>
      <c r="BMA134" t="s">
        <v>61</v>
      </c>
      <c r="BMB134" t="s">
        <v>61</v>
      </c>
      <c r="BMC134" t="s">
        <v>61</v>
      </c>
      <c r="BMD134" t="s">
        <v>61</v>
      </c>
      <c r="BME134" t="s">
        <v>61</v>
      </c>
      <c r="BMF134" t="s">
        <v>61</v>
      </c>
      <c r="BMG134" t="s">
        <v>61</v>
      </c>
      <c r="BMH134" t="s">
        <v>61</v>
      </c>
      <c r="BMI134" t="s">
        <v>61</v>
      </c>
      <c r="BMJ134" t="s">
        <v>61</v>
      </c>
      <c r="BMK134" t="s">
        <v>61</v>
      </c>
      <c r="BML134" t="s">
        <v>61</v>
      </c>
      <c r="BMM134" t="s">
        <v>61</v>
      </c>
      <c r="BMN134" t="s">
        <v>61</v>
      </c>
      <c r="BMO134" t="s">
        <v>61</v>
      </c>
      <c r="BMP134" t="s">
        <v>61</v>
      </c>
      <c r="BMQ134" t="s">
        <v>61</v>
      </c>
      <c r="BMR134" t="s">
        <v>61</v>
      </c>
      <c r="BMS134" t="s">
        <v>61</v>
      </c>
      <c r="BMT134" t="s">
        <v>61</v>
      </c>
      <c r="BMU134" t="s">
        <v>61</v>
      </c>
      <c r="BMV134" t="s">
        <v>61</v>
      </c>
      <c r="BMW134" t="s">
        <v>61</v>
      </c>
      <c r="BMX134" t="s">
        <v>61</v>
      </c>
      <c r="BMY134" t="s">
        <v>61</v>
      </c>
      <c r="BMZ134" t="s">
        <v>61</v>
      </c>
      <c r="BNA134" t="s">
        <v>61</v>
      </c>
      <c r="BNB134" t="s">
        <v>61</v>
      </c>
      <c r="BNC134" t="s">
        <v>61</v>
      </c>
      <c r="BND134" t="s">
        <v>61</v>
      </c>
      <c r="BNE134" t="s">
        <v>61</v>
      </c>
      <c r="BNF134" t="s">
        <v>61</v>
      </c>
      <c r="BNG134" t="s">
        <v>61</v>
      </c>
      <c r="BNH134" t="s">
        <v>61</v>
      </c>
      <c r="BNI134" t="s">
        <v>61</v>
      </c>
      <c r="BNJ134" t="s">
        <v>61</v>
      </c>
      <c r="BNK134" t="s">
        <v>61</v>
      </c>
      <c r="BNL134" t="s">
        <v>61</v>
      </c>
      <c r="BNM134" t="s">
        <v>61</v>
      </c>
      <c r="BNN134" t="s">
        <v>61</v>
      </c>
      <c r="BNO134" t="s">
        <v>61</v>
      </c>
      <c r="BNP134" t="s">
        <v>61</v>
      </c>
      <c r="BNQ134" t="s">
        <v>61</v>
      </c>
      <c r="BNR134" t="s">
        <v>61</v>
      </c>
      <c r="BNS134" t="s">
        <v>61</v>
      </c>
      <c r="BNT134" t="s">
        <v>61</v>
      </c>
      <c r="BNU134" t="s">
        <v>61</v>
      </c>
      <c r="BNV134" t="s">
        <v>61</v>
      </c>
      <c r="BNW134" t="s">
        <v>61</v>
      </c>
      <c r="BNX134" t="s">
        <v>61</v>
      </c>
      <c r="BNY134" t="s">
        <v>61</v>
      </c>
      <c r="BNZ134" t="s">
        <v>61</v>
      </c>
      <c r="BOA134" t="s">
        <v>61</v>
      </c>
      <c r="BOB134" t="s">
        <v>61</v>
      </c>
      <c r="BOC134" t="s">
        <v>61</v>
      </c>
      <c r="BOD134" t="s">
        <v>61</v>
      </c>
      <c r="BOE134" t="s">
        <v>61</v>
      </c>
      <c r="BOF134" t="s">
        <v>61</v>
      </c>
      <c r="BOG134" t="s">
        <v>61</v>
      </c>
      <c r="BOH134" t="s">
        <v>61</v>
      </c>
      <c r="BOI134" t="s">
        <v>61</v>
      </c>
      <c r="BOJ134" t="s">
        <v>61</v>
      </c>
      <c r="BOK134" t="s">
        <v>61</v>
      </c>
      <c r="BOL134" t="s">
        <v>61</v>
      </c>
      <c r="BOM134" t="s">
        <v>61</v>
      </c>
      <c r="BON134" t="s">
        <v>61</v>
      </c>
      <c r="BOO134" t="s">
        <v>61</v>
      </c>
      <c r="BOP134" t="s">
        <v>61</v>
      </c>
      <c r="BOQ134" t="s">
        <v>61</v>
      </c>
      <c r="BOR134" t="s">
        <v>61</v>
      </c>
      <c r="BOS134" t="s">
        <v>61</v>
      </c>
      <c r="BOT134" t="s">
        <v>61</v>
      </c>
      <c r="BOU134" t="s">
        <v>61</v>
      </c>
      <c r="BOV134" t="s">
        <v>61</v>
      </c>
      <c r="BOW134" t="s">
        <v>61</v>
      </c>
      <c r="BOX134" t="s">
        <v>61</v>
      </c>
      <c r="BOY134" t="s">
        <v>61</v>
      </c>
      <c r="BOZ134" t="s">
        <v>61</v>
      </c>
      <c r="BPA134" t="s">
        <v>61</v>
      </c>
      <c r="BPB134" t="s">
        <v>61</v>
      </c>
      <c r="BPC134" t="s">
        <v>61</v>
      </c>
      <c r="BPD134" t="s">
        <v>61</v>
      </c>
      <c r="BPE134" t="s">
        <v>61</v>
      </c>
      <c r="BPF134" t="s">
        <v>61</v>
      </c>
      <c r="BPG134" t="s">
        <v>61</v>
      </c>
      <c r="BPH134" t="s">
        <v>61</v>
      </c>
      <c r="BPI134" t="s">
        <v>61</v>
      </c>
      <c r="BPJ134" t="s">
        <v>61</v>
      </c>
      <c r="BPK134" t="s">
        <v>61</v>
      </c>
      <c r="BPL134" t="s">
        <v>61</v>
      </c>
      <c r="BPM134" t="s">
        <v>61</v>
      </c>
      <c r="BPN134" t="s">
        <v>61</v>
      </c>
      <c r="BPO134" t="s">
        <v>61</v>
      </c>
      <c r="BPP134" t="s">
        <v>61</v>
      </c>
      <c r="BPQ134" t="s">
        <v>61</v>
      </c>
      <c r="BPR134" t="s">
        <v>61</v>
      </c>
      <c r="BPS134" t="s">
        <v>61</v>
      </c>
      <c r="BPT134" t="s">
        <v>61</v>
      </c>
      <c r="BPU134" t="s">
        <v>61</v>
      </c>
      <c r="BPV134" t="s">
        <v>61</v>
      </c>
      <c r="BPW134" t="s">
        <v>61</v>
      </c>
      <c r="BPX134" t="s">
        <v>61</v>
      </c>
      <c r="BPY134" t="s">
        <v>61</v>
      </c>
      <c r="BPZ134" t="s">
        <v>61</v>
      </c>
      <c r="BQA134" t="s">
        <v>61</v>
      </c>
      <c r="BQB134" t="s">
        <v>61</v>
      </c>
      <c r="BQC134" t="s">
        <v>61</v>
      </c>
      <c r="BQD134" t="s">
        <v>61</v>
      </c>
      <c r="BQE134" t="s">
        <v>61</v>
      </c>
      <c r="BQF134" t="s">
        <v>61</v>
      </c>
      <c r="BQG134" t="s">
        <v>61</v>
      </c>
      <c r="BQH134" t="s">
        <v>61</v>
      </c>
      <c r="BQI134" t="s">
        <v>61</v>
      </c>
      <c r="BQJ134" t="s">
        <v>61</v>
      </c>
      <c r="BQK134" t="s">
        <v>61</v>
      </c>
      <c r="BQL134" t="s">
        <v>61</v>
      </c>
      <c r="BQM134" t="s">
        <v>61</v>
      </c>
      <c r="BQN134" t="s">
        <v>61</v>
      </c>
      <c r="BQO134" t="s">
        <v>61</v>
      </c>
      <c r="BQP134" t="s">
        <v>61</v>
      </c>
      <c r="BQQ134" t="s">
        <v>61</v>
      </c>
      <c r="BQR134" t="s">
        <v>61</v>
      </c>
      <c r="BQS134" t="s">
        <v>61</v>
      </c>
      <c r="BQT134" t="s">
        <v>61</v>
      </c>
      <c r="BQU134" t="s">
        <v>61</v>
      </c>
      <c r="BQV134" t="s">
        <v>61</v>
      </c>
      <c r="BQW134" t="s">
        <v>61</v>
      </c>
      <c r="BQX134" t="s">
        <v>61</v>
      </c>
      <c r="BQY134" t="s">
        <v>61</v>
      </c>
      <c r="BQZ134" t="s">
        <v>61</v>
      </c>
      <c r="BRA134" t="s">
        <v>61</v>
      </c>
      <c r="BRB134" t="s">
        <v>61</v>
      </c>
      <c r="BRC134" t="s">
        <v>61</v>
      </c>
      <c r="BRD134" t="s">
        <v>61</v>
      </c>
      <c r="BRE134" t="s">
        <v>61</v>
      </c>
      <c r="BRF134" t="s">
        <v>61</v>
      </c>
      <c r="BRG134" t="s">
        <v>61</v>
      </c>
      <c r="BRH134" t="s">
        <v>61</v>
      </c>
      <c r="BRI134" t="s">
        <v>61</v>
      </c>
      <c r="BRJ134" t="s">
        <v>61</v>
      </c>
      <c r="BRK134" t="s">
        <v>61</v>
      </c>
      <c r="BRL134" t="s">
        <v>61</v>
      </c>
      <c r="BRM134" t="s">
        <v>61</v>
      </c>
      <c r="BRN134" t="s">
        <v>61</v>
      </c>
      <c r="BRO134" t="s">
        <v>61</v>
      </c>
      <c r="BRP134" t="s">
        <v>61</v>
      </c>
      <c r="BRQ134" t="s">
        <v>61</v>
      </c>
      <c r="BRR134" t="s">
        <v>61</v>
      </c>
      <c r="BRS134" t="s">
        <v>61</v>
      </c>
      <c r="BRT134" t="s">
        <v>61</v>
      </c>
      <c r="BRU134" t="s">
        <v>61</v>
      </c>
      <c r="BRV134" t="s">
        <v>61</v>
      </c>
      <c r="BRW134" t="s">
        <v>61</v>
      </c>
      <c r="BRX134" t="s">
        <v>61</v>
      </c>
      <c r="BRY134" t="s">
        <v>61</v>
      </c>
      <c r="BRZ134" t="s">
        <v>61</v>
      </c>
      <c r="BSA134" t="s">
        <v>61</v>
      </c>
      <c r="BSB134" t="s">
        <v>61</v>
      </c>
      <c r="BSC134" t="s">
        <v>61</v>
      </c>
      <c r="BSD134" t="s">
        <v>61</v>
      </c>
      <c r="BSE134" t="s">
        <v>61</v>
      </c>
      <c r="BSF134" t="s">
        <v>61</v>
      </c>
      <c r="BSG134" t="s">
        <v>61</v>
      </c>
      <c r="BSH134" t="s">
        <v>61</v>
      </c>
      <c r="BSI134" t="s">
        <v>61</v>
      </c>
      <c r="BSJ134" t="s">
        <v>61</v>
      </c>
      <c r="BSK134" t="s">
        <v>61</v>
      </c>
      <c r="BSL134" t="s">
        <v>61</v>
      </c>
      <c r="BSM134" t="s">
        <v>61</v>
      </c>
      <c r="BSN134" t="s">
        <v>61</v>
      </c>
      <c r="BSO134" t="s">
        <v>61</v>
      </c>
      <c r="BSP134" t="s">
        <v>61</v>
      </c>
      <c r="BSQ134" t="s">
        <v>61</v>
      </c>
      <c r="BSR134" t="s">
        <v>61</v>
      </c>
      <c r="BSS134" t="s">
        <v>61</v>
      </c>
      <c r="BST134" t="s">
        <v>61</v>
      </c>
      <c r="BSU134" t="s">
        <v>61</v>
      </c>
      <c r="BSV134" t="s">
        <v>61</v>
      </c>
      <c r="BSW134" t="s">
        <v>61</v>
      </c>
      <c r="BSX134" t="s">
        <v>61</v>
      </c>
      <c r="BSY134" t="s">
        <v>61</v>
      </c>
      <c r="BSZ134" t="s">
        <v>61</v>
      </c>
      <c r="BTA134" t="s">
        <v>61</v>
      </c>
      <c r="BTB134" t="s">
        <v>61</v>
      </c>
      <c r="BTC134" t="s">
        <v>61</v>
      </c>
      <c r="BTD134" t="s">
        <v>61</v>
      </c>
      <c r="BTE134" t="s">
        <v>61</v>
      </c>
      <c r="BTF134" t="s">
        <v>61</v>
      </c>
      <c r="BTG134" t="s">
        <v>61</v>
      </c>
      <c r="BTH134" t="s">
        <v>61</v>
      </c>
      <c r="BTI134" t="s">
        <v>61</v>
      </c>
      <c r="BTJ134" t="s">
        <v>61</v>
      </c>
      <c r="BTK134" t="s">
        <v>61</v>
      </c>
      <c r="BTL134" t="s">
        <v>61</v>
      </c>
      <c r="BTM134" t="s">
        <v>61</v>
      </c>
      <c r="BTN134" t="s">
        <v>61</v>
      </c>
      <c r="BTO134" t="s">
        <v>61</v>
      </c>
      <c r="BTP134" t="s">
        <v>61</v>
      </c>
      <c r="BTQ134" t="s">
        <v>61</v>
      </c>
      <c r="BTR134" t="s">
        <v>61</v>
      </c>
      <c r="BTS134" t="s">
        <v>61</v>
      </c>
      <c r="BTT134" t="s">
        <v>61</v>
      </c>
      <c r="BTU134" t="s">
        <v>61</v>
      </c>
      <c r="BTV134" t="s">
        <v>61</v>
      </c>
      <c r="BTW134" t="s">
        <v>61</v>
      </c>
      <c r="BTX134" t="s">
        <v>61</v>
      </c>
      <c r="BTY134" t="s">
        <v>61</v>
      </c>
      <c r="BTZ134" t="s">
        <v>61</v>
      </c>
      <c r="BUA134" t="s">
        <v>61</v>
      </c>
      <c r="BUB134" t="s">
        <v>61</v>
      </c>
      <c r="BUC134" t="s">
        <v>61</v>
      </c>
      <c r="BUD134" t="s">
        <v>61</v>
      </c>
      <c r="BUE134" t="s">
        <v>61</v>
      </c>
      <c r="BUF134" t="s">
        <v>61</v>
      </c>
      <c r="BUG134" t="s">
        <v>61</v>
      </c>
      <c r="BUH134" t="s">
        <v>61</v>
      </c>
      <c r="BUI134" t="s">
        <v>61</v>
      </c>
      <c r="BUJ134" t="s">
        <v>61</v>
      </c>
      <c r="BUK134" t="s">
        <v>61</v>
      </c>
      <c r="BUL134" t="s">
        <v>61</v>
      </c>
      <c r="BUM134" t="s">
        <v>61</v>
      </c>
      <c r="BUN134" t="s">
        <v>61</v>
      </c>
      <c r="BUO134" t="s">
        <v>61</v>
      </c>
      <c r="BUP134" t="s">
        <v>61</v>
      </c>
      <c r="BUQ134" t="s">
        <v>61</v>
      </c>
      <c r="BUR134" t="s">
        <v>61</v>
      </c>
      <c r="BUS134" t="s">
        <v>61</v>
      </c>
      <c r="BUT134" t="s">
        <v>61</v>
      </c>
      <c r="BUU134" t="s">
        <v>61</v>
      </c>
      <c r="BUV134" t="s">
        <v>61</v>
      </c>
      <c r="BUW134" t="s">
        <v>61</v>
      </c>
      <c r="BUX134" t="s">
        <v>61</v>
      </c>
      <c r="BUY134" t="s">
        <v>61</v>
      </c>
      <c r="BUZ134" t="s">
        <v>61</v>
      </c>
      <c r="BVA134" t="s">
        <v>61</v>
      </c>
      <c r="BVB134" t="s">
        <v>61</v>
      </c>
      <c r="BVC134" t="s">
        <v>61</v>
      </c>
      <c r="BVD134" t="s">
        <v>61</v>
      </c>
      <c r="BVE134" t="s">
        <v>61</v>
      </c>
      <c r="BVF134" t="s">
        <v>61</v>
      </c>
      <c r="BVG134" t="s">
        <v>61</v>
      </c>
      <c r="BVH134" t="s">
        <v>61</v>
      </c>
      <c r="BVI134" t="s">
        <v>61</v>
      </c>
      <c r="BVJ134" t="s">
        <v>61</v>
      </c>
      <c r="BVK134" t="s">
        <v>61</v>
      </c>
      <c r="BVL134" t="s">
        <v>61</v>
      </c>
      <c r="BVM134" t="s">
        <v>61</v>
      </c>
      <c r="BVN134" t="s">
        <v>61</v>
      </c>
      <c r="BVO134" t="s">
        <v>61</v>
      </c>
      <c r="BVP134" t="s">
        <v>61</v>
      </c>
      <c r="BVQ134" t="s">
        <v>61</v>
      </c>
      <c r="BVR134" t="s">
        <v>61</v>
      </c>
      <c r="BVS134" t="s">
        <v>61</v>
      </c>
      <c r="BVT134" t="s">
        <v>61</v>
      </c>
      <c r="BVU134" t="s">
        <v>61</v>
      </c>
      <c r="BVV134" t="s">
        <v>61</v>
      </c>
      <c r="BVW134" t="s">
        <v>61</v>
      </c>
      <c r="BVX134" t="s">
        <v>61</v>
      </c>
      <c r="BVY134" t="s">
        <v>61</v>
      </c>
      <c r="BVZ134" t="s">
        <v>61</v>
      </c>
      <c r="BWA134" t="s">
        <v>61</v>
      </c>
      <c r="BWB134" t="s">
        <v>61</v>
      </c>
      <c r="BWC134" t="s">
        <v>61</v>
      </c>
      <c r="BWD134" t="s">
        <v>61</v>
      </c>
      <c r="BWE134" t="s">
        <v>61</v>
      </c>
      <c r="BWF134" t="s">
        <v>61</v>
      </c>
      <c r="BWG134" t="s">
        <v>61</v>
      </c>
      <c r="BWH134" t="s">
        <v>61</v>
      </c>
      <c r="BWI134" t="s">
        <v>61</v>
      </c>
      <c r="BWJ134" t="s">
        <v>61</v>
      </c>
      <c r="BWK134" t="s">
        <v>61</v>
      </c>
      <c r="BWL134" t="s">
        <v>61</v>
      </c>
      <c r="BWM134" t="s">
        <v>61</v>
      </c>
      <c r="BWN134" t="s">
        <v>61</v>
      </c>
      <c r="BWO134" t="s">
        <v>61</v>
      </c>
      <c r="BWP134" t="s">
        <v>61</v>
      </c>
      <c r="BWQ134" t="s">
        <v>61</v>
      </c>
      <c r="BWR134" t="s">
        <v>61</v>
      </c>
      <c r="BWS134" t="s">
        <v>61</v>
      </c>
      <c r="BWT134" t="s">
        <v>61</v>
      </c>
      <c r="BWU134" t="s">
        <v>61</v>
      </c>
      <c r="BWV134" t="s">
        <v>61</v>
      </c>
      <c r="BWW134" t="s">
        <v>61</v>
      </c>
      <c r="BWX134" t="s">
        <v>61</v>
      </c>
      <c r="BWY134" t="s">
        <v>61</v>
      </c>
      <c r="BWZ134" t="s">
        <v>61</v>
      </c>
      <c r="BXA134" t="s">
        <v>61</v>
      </c>
      <c r="BXB134" t="s">
        <v>61</v>
      </c>
      <c r="BXC134" t="s">
        <v>61</v>
      </c>
      <c r="BXD134" t="s">
        <v>61</v>
      </c>
      <c r="BXE134" t="s">
        <v>61</v>
      </c>
      <c r="BXF134" t="s">
        <v>61</v>
      </c>
      <c r="BXG134" t="s">
        <v>61</v>
      </c>
      <c r="BXH134" t="s">
        <v>61</v>
      </c>
      <c r="BXI134" t="s">
        <v>61</v>
      </c>
      <c r="BXJ134" t="s">
        <v>61</v>
      </c>
      <c r="BXK134" t="s">
        <v>61</v>
      </c>
      <c r="BXL134" t="s">
        <v>61</v>
      </c>
      <c r="BXM134" t="s">
        <v>61</v>
      </c>
      <c r="BXN134" t="s">
        <v>61</v>
      </c>
      <c r="BXO134" t="s">
        <v>61</v>
      </c>
      <c r="BXP134" t="s">
        <v>61</v>
      </c>
      <c r="BXQ134" t="s">
        <v>61</v>
      </c>
      <c r="BXR134" t="s">
        <v>61</v>
      </c>
      <c r="BXS134" t="s">
        <v>61</v>
      </c>
      <c r="BXT134" t="s">
        <v>61</v>
      </c>
      <c r="BXU134" t="s">
        <v>61</v>
      </c>
      <c r="BXV134" t="s">
        <v>61</v>
      </c>
      <c r="BXW134" t="s">
        <v>61</v>
      </c>
      <c r="BXX134" t="s">
        <v>61</v>
      </c>
      <c r="BXY134" t="s">
        <v>61</v>
      </c>
      <c r="BXZ134" t="s">
        <v>61</v>
      </c>
      <c r="BYA134" t="s">
        <v>61</v>
      </c>
      <c r="BYB134" t="s">
        <v>61</v>
      </c>
      <c r="BYC134" t="s">
        <v>61</v>
      </c>
      <c r="BYD134" t="s">
        <v>61</v>
      </c>
      <c r="BYE134" t="s">
        <v>61</v>
      </c>
      <c r="BYF134" t="s">
        <v>61</v>
      </c>
      <c r="BYG134" t="s">
        <v>61</v>
      </c>
      <c r="BYH134" t="s">
        <v>61</v>
      </c>
      <c r="BYI134" t="s">
        <v>61</v>
      </c>
      <c r="BYJ134" t="s">
        <v>61</v>
      </c>
      <c r="BYK134" t="s">
        <v>61</v>
      </c>
      <c r="BYL134" t="s">
        <v>61</v>
      </c>
      <c r="BYM134" t="s">
        <v>61</v>
      </c>
      <c r="BYN134" t="s">
        <v>61</v>
      </c>
      <c r="BYO134" t="s">
        <v>61</v>
      </c>
      <c r="BYP134" t="s">
        <v>61</v>
      </c>
      <c r="BYQ134" t="s">
        <v>61</v>
      </c>
      <c r="BYR134" t="s">
        <v>61</v>
      </c>
      <c r="BYS134" t="s">
        <v>61</v>
      </c>
      <c r="BYT134" t="s">
        <v>61</v>
      </c>
      <c r="BYU134" t="s">
        <v>61</v>
      </c>
      <c r="BYV134" t="s">
        <v>61</v>
      </c>
      <c r="BYW134" t="s">
        <v>61</v>
      </c>
      <c r="BYX134" t="s">
        <v>61</v>
      </c>
      <c r="BYY134" t="s">
        <v>61</v>
      </c>
      <c r="BYZ134" t="s">
        <v>61</v>
      </c>
      <c r="BZA134" t="s">
        <v>61</v>
      </c>
      <c r="BZB134" t="s">
        <v>61</v>
      </c>
      <c r="BZC134" t="s">
        <v>61</v>
      </c>
      <c r="BZD134" t="s">
        <v>61</v>
      </c>
      <c r="BZE134" t="s">
        <v>61</v>
      </c>
      <c r="BZF134" t="s">
        <v>61</v>
      </c>
      <c r="BZG134" t="s">
        <v>61</v>
      </c>
      <c r="BZH134" t="s">
        <v>61</v>
      </c>
      <c r="BZI134" t="s">
        <v>61</v>
      </c>
      <c r="BZJ134" t="s">
        <v>61</v>
      </c>
      <c r="BZK134" t="s">
        <v>61</v>
      </c>
      <c r="BZL134" t="s">
        <v>61</v>
      </c>
      <c r="BZM134" t="s">
        <v>61</v>
      </c>
      <c r="BZN134" t="s">
        <v>61</v>
      </c>
      <c r="BZO134" t="s">
        <v>61</v>
      </c>
      <c r="BZP134" t="s">
        <v>61</v>
      </c>
      <c r="BZQ134" t="s">
        <v>61</v>
      </c>
      <c r="BZR134" t="s">
        <v>61</v>
      </c>
      <c r="BZS134" t="s">
        <v>61</v>
      </c>
      <c r="BZT134" t="s">
        <v>61</v>
      </c>
      <c r="BZU134" t="s">
        <v>61</v>
      </c>
      <c r="BZV134" t="s">
        <v>61</v>
      </c>
      <c r="BZW134" t="s">
        <v>61</v>
      </c>
      <c r="BZX134" t="s">
        <v>61</v>
      </c>
      <c r="BZY134" t="s">
        <v>61</v>
      </c>
      <c r="BZZ134" t="s">
        <v>61</v>
      </c>
      <c r="CAA134" t="s">
        <v>61</v>
      </c>
      <c r="CAB134" t="s">
        <v>61</v>
      </c>
      <c r="CAC134" t="s">
        <v>61</v>
      </c>
      <c r="CAD134" t="s">
        <v>61</v>
      </c>
      <c r="CAE134" t="s">
        <v>61</v>
      </c>
      <c r="CAF134" t="s">
        <v>61</v>
      </c>
      <c r="CAG134" t="s">
        <v>61</v>
      </c>
      <c r="CAH134" t="s">
        <v>61</v>
      </c>
      <c r="CAI134" t="s">
        <v>61</v>
      </c>
      <c r="CAJ134" t="s">
        <v>61</v>
      </c>
      <c r="CAK134" t="s">
        <v>61</v>
      </c>
      <c r="CAL134" t="s">
        <v>61</v>
      </c>
      <c r="CAM134" t="s">
        <v>61</v>
      </c>
      <c r="CAN134" t="s">
        <v>61</v>
      </c>
      <c r="CAO134" t="s">
        <v>61</v>
      </c>
      <c r="CAP134" t="s">
        <v>61</v>
      </c>
      <c r="CAQ134" t="s">
        <v>61</v>
      </c>
      <c r="CAR134" t="s">
        <v>61</v>
      </c>
      <c r="CAS134" t="s">
        <v>61</v>
      </c>
      <c r="CAT134" t="s">
        <v>61</v>
      </c>
      <c r="CAU134" t="s">
        <v>61</v>
      </c>
      <c r="CAV134" t="s">
        <v>61</v>
      </c>
      <c r="CAW134" t="s">
        <v>61</v>
      </c>
      <c r="CAX134" t="s">
        <v>61</v>
      </c>
      <c r="CAY134" t="s">
        <v>61</v>
      </c>
      <c r="CAZ134" t="s">
        <v>61</v>
      </c>
      <c r="CBA134" t="s">
        <v>61</v>
      </c>
      <c r="CBB134" t="s">
        <v>61</v>
      </c>
      <c r="CBC134" t="s">
        <v>61</v>
      </c>
      <c r="CBD134" t="s">
        <v>61</v>
      </c>
      <c r="CBE134" t="s">
        <v>61</v>
      </c>
      <c r="CBF134" t="s">
        <v>61</v>
      </c>
      <c r="CBG134" t="s">
        <v>61</v>
      </c>
      <c r="CBH134" t="s">
        <v>61</v>
      </c>
      <c r="CBI134" t="s">
        <v>61</v>
      </c>
      <c r="CBJ134" t="s">
        <v>61</v>
      </c>
      <c r="CBK134" t="s">
        <v>61</v>
      </c>
      <c r="CBL134" t="s">
        <v>61</v>
      </c>
      <c r="CBM134" t="s">
        <v>61</v>
      </c>
      <c r="CBN134" t="s">
        <v>61</v>
      </c>
      <c r="CBO134" t="s">
        <v>61</v>
      </c>
      <c r="CBP134" t="s">
        <v>61</v>
      </c>
      <c r="CBQ134" t="s">
        <v>61</v>
      </c>
      <c r="CBR134" t="s">
        <v>61</v>
      </c>
      <c r="CBS134" t="s">
        <v>61</v>
      </c>
      <c r="CBT134" t="s">
        <v>61</v>
      </c>
      <c r="CBU134" t="s">
        <v>61</v>
      </c>
      <c r="CBV134" t="s">
        <v>61</v>
      </c>
      <c r="CBW134" t="s">
        <v>61</v>
      </c>
      <c r="CBX134" t="s">
        <v>61</v>
      </c>
      <c r="CBY134" t="s">
        <v>61</v>
      </c>
      <c r="CBZ134" t="s">
        <v>61</v>
      </c>
      <c r="CCA134" t="s">
        <v>61</v>
      </c>
      <c r="CCB134" t="s">
        <v>61</v>
      </c>
      <c r="CCC134" t="s">
        <v>61</v>
      </c>
      <c r="CCD134" t="s">
        <v>61</v>
      </c>
      <c r="CCE134" t="s">
        <v>61</v>
      </c>
      <c r="CCF134" t="s">
        <v>61</v>
      </c>
      <c r="CCG134" t="s">
        <v>61</v>
      </c>
      <c r="CCH134" t="s">
        <v>61</v>
      </c>
      <c r="CCI134" t="s">
        <v>61</v>
      </c>
      <c r="CCJ134" t="s">
        <v>61</v>
      </c>
      <c r="CCK134" t="s">
        <v>61</v>
      </c>
      <c r="CCL134" t="s">
        <v>61</v>
      </c>
      <c r="CCM134" t="s">
        <v>61</v>
      </c>
      <c r="CCN134" t="s">
        <v>61</v>
      </c>
      <c r="CCO134" t="s">
        <v>61</v>
      </c>
      <c r="CCP134" t="s">
        <v>61</v>
      </c>
      <c r="CCQ134" t="s">
        <v>61</v>
      </c>
      <c r="CCR134" t="s">
        <v>61</v>
      </c>
      <c r="CCS134" t="s">
        <v>61</v>
      </c>
      <c r="CCT134" t="s">
        <v>61</v>
      </c>
      <c r="CCU134" t="s">
        <v>61</v>
      </c>
      <c r="CCV134" t="s">
        <v>61</v>
      </c>
      <c r="CCW134" t="s">
        <v>61</v>
      </c>
      <c r="CCX134" t="s">
        <v>61</v>
      </c>
      <c r="CCY134" t="s">
        <v>61</v>
      </c>
      <c r="CCZ134" t="s">
        <v>61</v>
      </c>
      <c r="CDA134" t="s">
        <v>61</v>
      </c>
      <c r="CDB134" t="s">
        <v>61</v>
      </c>
      <c r="CDC134" t="s">
        <v>61</v>
      </c>
      <c r="CDD134" t="s">
        <v>61</v>
      </c>
      <c r="CDE134" t="s">
        <v>61</v>
      </c>
      <c r="CDF134" t="s">
        <v>61</v>
      </c>
      <c r="CDG134" t="s">
        <v>61</v>
      </c>
      <c r="CDH134" t="s">
        <v>61</v>
      </c>
      <c r="CDI134" t="s">
        <v>61</v>
      </c>
      <c r="CDJ134" t="s">
        <v>61</v>
      </c>
      <c r="CDK134" t="s">
        <v>61</v>
      </c>
      <c r="CDL134" t="s">
        <v>61</v>
      </c>
      <c r="CDM134" t="s">
        <v>61</v>
      </c>
      <c r="CDN134" t="s">
        <v>61</v>
      </c>
      <c r="CDO134" t="s">
        <v>61</v>
      </c>
      <c r="CDP134" t="s">
        <v>61</v>
      </c>
      <c r="CDQ134" t="s">
        <v>61</v>
      </c>
      <c r="CDR134" t="s">
        <v>61</v>
      </c>
      <c r="CDS134" t="s">
        <v>61</v>
      </c>
      <c r="CDT134" t="s">
        <v>61</v>
      </c>
      <c r="CDU134" t="s">
        <v>61</v>
      </c>
      <c r="CDV134" t="s">
        <v>61</v>
      </c>
      <c r="CDW134" t="s">
        <v>61</v>
      </c>
      <c r="CDX134" t="s">
        <v>61</v>
      </c>
      <c r="CDY134" t="s">
        <v>61</v>
      </c>
      <c r="CDZ134" t="s">
        <v>61</v>
      </c>
      <c r="CEA134" t="s">
        <v>61</v>
      </c>
      <c r="CEB134" t="s">
        <v>61</v>
      </c>
      <c r="CEC134" t="s">
        <v>61</v>
      </c>
      <c r="CED134" t="s">
        <v>61</v>
      </c>
      <c r="CEE134" t="s">
        <v>61</v>
      </c>
      <c r="CEF134" t="s">
        <v>61</v>
      </c>
      <c r="CEG134" t="s">
        <v>61</v>
      </c>
      <c r="CEH134" t="s">
        <v>61</v>
      </c>
      <c r="CEI134" t="s">
        <v>61</v>
      </c>
      <c r="CEJ134" t="s">
        <v>61</v>
      </c>
      <c r="CEK134" t="s">
        <v>61</v>
      </c>
      <c r="CEL134" t="s">
        <v>61</v>
      </c>
      <c r="CEM134" t="s">
        <v>61</v>
      </c>
      <c r="CEN134" t="s">
        <v>61</v>
      </c>
      <c r="CEO134" t="s">
        <v>61</v>
      </c>
      <c r="CEP134" t="s">
        <v>61</v>
      </c>
      <c r="CEQ134" t="s">
        <v>61</v>
      </c>
      <c r="CER134" t="s">
        <v>61</v>
      </c>
      <c r="CES134" t="s">
        <v>61</v>
      </c>
      <c r="CET134" t="s">
        <v>61</v>
      </c>
      <c r="CEU134" t="s">
        <v>61</v>
      </c>
      <c r="CEV134" t="s">
        <v>61</v>
      </c>
      <c r="CEW134" t="s">
        <v>61</v>
      </c>
      <c r="CEX134" t="s">
        <v>61</v>
      </c>
      <c r="CEY134" t="s">
        <v>61</v>
      </c>
      <c r="CEZ134" t="s">
        <v>61</v>
      </c>
      <c r="CFA134" t="s">
        <v>61</v>
      </c>
      <c r="CFB134" t="s">
        <v>61</v>
      </c>
      <c r="CFC134" t="s">
        <v>61</v>
      </c>
      <c r="CFD134" t="s">
        <v>61</v>
      </c>
      <c r="CFE134" t="s">
        <v>61</v>
      </c>
      <c r="CFF134" t="s">
        <v>61</v>
      </c>
      <c r="CFG134" t="s">
        <v>61</v>
      </c>
      <c r="CFH134" t="s">
        <v>61</v>
      </c>
      <c r="CFI134" t="s">
        <v>61</v>
      </c>
      <c r="CFJ134" t="s">
        <v>61</v>
      </c>
      <c r="CFK134" t="s">
        <v>61</v>
      </c>
      <c r="CFL134" t="s">
        <v>61</v>
      </c>
      <c r="CFM134" t="s">
        <v>61</v>
      </c>
      <c r="CFN134" t="s">
        <v>61</v>
      </c>
      <c r="CFO134" t="s">
        <v>61</v>
      </c>
      <c r="CFP134" t="s">
        <v>61</v>
      </c>
      <c r="CFQ134" t="s">
        <v>61</v>
      </c>
      <c r="CFR134" t="s">
        <v>61</v>
      </c>
      <c r="CFS134" t="s">
        <v>61</v>
      </c>
      <c r="CFT134" t="s">
        <v>61</v>
      </c>
      <c r="CFU134" t="s">
        <v>61</v>
      </c>
      <c r="CFV134" t="s">
        <v>61</v>
      </c>
      <c r="CFW134" t="s">
        <v>61</v>
      </c>
      <c r="CFX134" t="s">
        <v>61</v>
      </c>
      <c r="CFY134" t="s">
        <v>61</v>
      </c>
      <c r="CFZ134" t="s">
        <v>61</v>
      </c>
      <c r="CGA134" t="s">
        <v>61</v>
      </c>
      <c r="CGB134" t="s">
        <v>61</v>
      </c>
      <c r="CGC134" t="s">
        <v>61</v>
      </c>
      <c r="CGD134" t="s">
        <v>61</v>
      </c>
      <c r="CGE134" t="s">
        <v>61</v>
      </c>
      <c r="CGF134" t="s">
        <v>61</v>
      </c>
      <c r="CGG134" t="s">
        <v>61</v>
      </c>
      <c r="CGH134" t="s">
        <v>61</v>
      </c>
      <c r="CGI134" t="s">
        <v>61</v>
      </c>
      <c r="CGJ134" t="s">
        <v>61</v>
      </c>
      <c r="CGK134" t="s">
        <v>61</v>
      </c>
      <c r="CGL134" t="s">
        <v>61</v>
      </c>
      <c r="CGM134" t="s">
        <v>61</v>
      </c>
      <c r="CGN134" t="s">
        <v>61</v>
      </c>
      <c r="CGO134" t="s">
        <v>61</v>
      </c>
      <c r="CGP134" t="s">
        <v>61</v>
      </c>
      <c r="CGQ134" t="s">
        <v>61</v>
      </c>
      <c r="CGR134" t="s">
        <v>61</v>
      </c>
      <c r="CGS134" t="s">
        <v>61</v>
      </c>
      <c r="CGT134" t="s">
        <v>61</v>
      </c>
      <c r="CGU134" t="s">
        <v>61</v>
      </c>
      <c r="CGV134" t="s">
        <v>61</v>
      </c>
      <c r="CGW134" t="s">
        <v>61</v>
      </c>
      <c r="CGX134" t="s">
        <v>61</v>
      </c>
      <c r="CGY134" t="s">
        <v>61</v>
      </c>
      <c r="CGZ134" t="s">
        <v>61</v>
      </c>
      <c r="CHA134" t="s">
        <v>61</v>
      </c>
      <c r="CHB134" t="s">
        <v>61</v>
      </c>
      <c r="CHC134" t="s">
        <v>61</v>
      </c>
      <c r="CHD134" t="s">
        <v>61</v>
      </c>
      <c r="CHE134" t="s">
        <v>61</v>
      </c>
      <c r="CHF134" t="s">
        <v>61</v>
      </c>
      <c r="CHG134" t="s">
        <v>61</v>
      </c>
      <c r="CHH134" t="s">
        <v>61</v>
      </c>
      <c r="CHI134" t="s">
        <v>61</v>
      </c>
      <c r="CHJ134" t="s">
        <v>61</v>
      </c>
      <c r="CHK134" t="s">
        <v>61</v>
      </c>
      <c r="CHL134" t="s">
        <v>61</v>
      </c>
      <c r="CHM134" t="s">
        <v>61</v>
      </c>
      <c r="CHN134" t="s">
        <v>61</v>
      </c>
      <c r="CHO134" t="s">
        <v>61</v>
      </c>
      <c r="CHP134" t="s">
        <v>61</v>
      </c>
      <c r="CHQ134" t="s">
        <v>61</v>
      </c>
      <c r="CHR134" t="s">
        <v>61</v>
      </c>
      <c r="CHS134" t="s">
        <v>61</v>
      </c>
      <c r="CHT134" t="s">
        <v>61</v>
      </c>
      <c r="CHU134" t="s">
        <v>61</v>
      </c>
      <c r="CHV134" t="s">
        <v>61</v>
      </c>
      <c r="CHW134" t="s">
        <v>61</v>
      </c>
      <c r="CHX134" t="s">
        <v>61</v>
      </c>
      <c r="CHY134" t="s">
        <v>61</v>
      </c>
      <c r="CHZ134" t="s">
        <v>61</v>
      </c>
      <c r="CIA134" t="s">
        <v>61</v>
      </c>
      <c r="CIB134" t="s">
        <v>61</v>
      </c>
      <c r="CIC134" t="s">
        <v>61</v>
      </c>
      <c r="CID134" t="s">
        <v>61</v>
      </c>
      <c r="CIE134" t="s">
        <v>61</v>
      </c>
      <c r="CIF134" t="s">
        <v>61</v>
      </c>
      <c r="CIG134" t="s">
        <v>61</v>
      </c>
      <c r="CIH134" t="s">
        <v>61</v>
      </c>
      <c r="CII134" t="s">
        <v>61</v>
      </c>
      <c r="CIJ134" t="s">
        <v>61</v>
      </c>
      <c r="CIK134" t="s">
        <v>61</v>
      </c>
      <c r="CIL134" t="s">
        <v>61</v>
      </c>
      <c r="CIM134" t="s">
        <v>61</v>
      </c>
      <c r="CIN134" t="s">
        <v>61</v>
      </c>
      <c r="CIO134" t="s">
        <v>61</v>
      </c>
      <c r="CIP134" t="s">
        <v>61</v>
      </c>
      <c r="CIQ134" t="s">
        <v>61</v>
      </c>
      <c r="CIR134" t="s">
        <v>61</v>
      </c>
      <c r="CIS134" t="s">
        <v>61</v>
      </c>
      <c r="CIT134" t="s">
        <v>61</v>
      </c>
      <c r="CIU134" t="s">
        <v>61</v>
      </c>
      <c r="CIV134" t="s">
        <v>61</v>
      </c>
      <c r="CIW134" t="s">
        <v>61</v>
      </c>
      <c r="CIX134" t="s">
        <v>61</v>
      </c>
      <c r="CIY134" t="s">
        <v>61</v>
      </c>
      <c r="CIZ134" t="s">
        <v>61</v>
      </c>
      <c r="CJA134" t="s">
        <v>61</v>
      </c>
      <c r="CJB134" t="s">
        <v>61</v>
      </c>
      <c r="CJC134" t="s">
        <v>61</v>
      </c>
      <c r="CJD134" t="s">
        <v>61</v>
      </c>
      <c r="CJE134" t="s">
        <v>61</v>
      </c>
      <c r="CJF134" t="s">
        <v>61</v>
      </c>
      <c r="CJG134" t="s">
        <v>61</v>
      </c>
      <c r="CJH134" t="s">
        <v>61</v>
      </c>
      <c r="CJI134" t="s">
        <v>61</v>
      </c>
      <c r="CJJ134" t="s">
        <v>61</v>
      </c>
      <c r="CJK134" t="s">
        <v>61</v>
      </c>
      <c r="CJL134" t="s">
        <v>61</v>
      </c>
      <c r="CJM134" t="s">
        <v>61</v>
      </c>
      <c r="CJN134" t="s">
        <v>61</v>
      </c>
      <c r="CJO134" t="s">
        <v>61</v>
      </c>
      <c r="CJP134" t="s">
        <v>61</v>
      </c>
      <c r="CJQ134" t="s">
        <v>61</v>
      </c>
      <c r="CJR134" t="s">
        <v>61</v>
      </c>
      <c r="CJS134" t="s">
        <v>61</v>
      </c>
      <c r="CJT134" t="s">
        <v>61</v>
      </c>
      <c r="CJU134" t="s">
        <v>61</v>
      </c>
      <c r="CJV134" t="s">
        <v>61</v>
      </c>
      <c r="CJW134" t="s">
        <v>61</v>
      </c>
      <c r="CJX134" t="s">
        <v>61</v>
      </c>
      <c r="CJY134" t="s">
        <v>61</v>
      </c>
      <c r="CJZ134" t="s">
        <v>61</v>
      </c>
      <c r="CKA134" t="s">
        <v>61</v>
      </c>
      <c r="CKB134" t="s">
        <v>61</v>
      </c>
      <c r="CKC134" t="s">
        <v>61</v>
      </c>
      <c r="CKD134" t="s">
        <v>61</v>
      </c>
      <c r="CKE134" t="s">
        <v>61</v>
      </c>
      <c r="CKF134" t="s">
        <v>61</v>
      </c>
      <c r="CKG134" t="s">
        <v>61</v>
      </c>
      <c r="CKH134" t="s">
        <v>61</v>
      </c>
      <c r="CKI134" t="s">
        <v>61</v>
      </c>
      <c r="CKJ134" t="s">
        <v>61</v>
      </c>
      <c r="CKK134" t="s">
        <v>61</v>
      </c>
      <c r="CKL134" t="s">
        <v>61</v>
      </c>
      <c r="CKM134" t="s">
        <v>61</v>
      </c>
      <c r="CKN134" t="s">
        <v>61</v>
      </c>
      <c r="CKO134" t="s">
        <v>61</v>
      </c>
      <c r="CKP134" t="s">
        <v>61</v>
      </c>
      <c r="CKQ134" t="s">
        <v>61</v>
      </c>
      <c r="CKR134" t="s">
        <v>61</v>
      </c>
      <c r="CKS134" t="s">
        <v>61</v>
      </c>
      <c r="CKT134" t="s">
        <v>61</v>
      </c>
      <c r="CKU134" t="s">
        <v>61</v>
      </c>
      <c r="CKV134" t="s">
        <v>61</v>
      </c>
      <c r="CKW134" t="s">
        <v>61</v>
      </c>
      <c r="CKX134" t="s">
        <v>61</v>
      </c>
      <c r="CKY134" t="s">
        <v>61</v>
      </c>
      <c r="CKZ134" t="s">
        <v>61</v>
      </c>
      <c r="CLA134" t="s">
        <v>61</v>
      </c>
      <c r="CLB134" t="s">
        <v>61</v>
      </c>
      <c r="CLC134" t="s">
        <v>61</v>
      </c>
      <c r="CLD134" t="s">
        <v>61</v>
      </c>
      <c r="CLE134" t="s">
        <v>61</v>
      </c>
      <c r="CLF134" t="s">
        <v>61</v>
      </c>
      <c r="CLG134" t="s">
        <v>61</v>
      </c>
      <c r="CLH134" t="s">
        <v>61</v>
      </c>
      <c r="CLI134" t="s">
        <v>61</v>
      </c>
      <c r="CLJ134" t="s">
        <v>61</v>
      </c>
      <c r="CLK134" t="s">
        <v>61</v>
      </c>
      <c r="CLL134" t="s">
        <v>61</v>
      </c>
      <c r="CLM134" t="s">
        <v>61</v>
      </c>
      <c r="CLN134" t="s">
        <v>61</v>
      </c>
      <c r="CLO134" t="s">
        <v>61</v>
      </c>
      <c r="CLP134" t="s">
        <v>61</v>
      </c>
      <c r="CLQ134" t="s">
        <v>61</v>
      </c>
      <c r="CLR134" t="s">
        <v>61</v>
      </c>
      <c r="CLS134" t="s">
        <v>61</v>
      </c>
      <c r="CLT134" t="s">
        <v>61</v>
      </c>
      <c r="CLU134" t="s">
        <v>61</v>
      </c>
      <c r="CLV134" t="s">
        <v>61</v>
      </c>
      <c r="CLW134" t="s">
        <v>61</v>
      </c>
      <c r="CLX134" t="s">
        <v>61</v>
      </c>
      <c r="CLY134" t="s">
        <v>61</v>
      </c>
      <c r="CLZ134" t="s">
        <v>61</v>
      </c>
      <c r="CMA134" t="s">
        <v>61</v>
      </c>
      <c r="CMB134" t="s">
        <v>61</v>
      </c>
      <c r="CMC134" t="s">
        <v>61</v>
      </c>
      <c r="CMD134" t="s">
        <v>61</v>
      </c>
      <c r="CME134" t="s">
        <v>61</v>
      </c>
      <c r="CMF134" t="s">
        <v>61</v>
      </c>
      <c r="CMG134" t="s">
        <v>61</v>
      </c>
      <c r="CMH134" t="s">
        <v>61</v>
      </c>
      <c r="CMI134" t="s">
        <v>61</v>
      </c>
      <c r="CMJ134" t="s">
        <v>61</v>
      </c>
      <c r="CMK134" t="s">
        <v>61</v>
      </c>
      <c r="CML134" t="s">
        <v>61</v>
      </c>
      <c r="CMM134" t="s">
        <v>61</v>
      </c>
      <c r="CMN134" t="s">
        <v>61</v>
      </c>
      <c r="CMO134" t="s">
        <v>61</v>
      </c>
      <c r="CMP134" t="s">
        <v>61</v>
      </c>
      <c r="CMQ134" t="s">
        <v>61</v>
      </c>
      <c r="CMR134" t="s">
        <v>61</v>
      </c>
      <c r="CMS134" t="s">
        <v>61</v>
      </c>
      <c r="CMT134" t="s">
        <v>61</v>
      </c>
      <c r="CMU134" t="s">
        <v>61</v>
      </c>
      <c r="CMV134" t="s">
        <v>61</v>
      </c>
      <c r="CMW134" t="s">
        <v>61</v>
      </c>
      <c r="CMX134" t="s">
        <v>61</v>
      </c>
      <c r="CMY134" t="s">
        <v>61</v>
      </c>
      <c r="CMZ134" t="s">
        <v>61</v>
      </c>
      <c r="CNA134" t="s">
        <v>61</v>
      </c>
      <c r="CNB134" t="s">
        <v>61</v>
      </c>
      <c r="CNC134" t="s">
        <v>61</v>
      </c>
      <c r="CND134" t="s">
        <v>61</v>
      </c>
      <c r="CNE134" t="s">
        <v>61</v>
      </c>
      <c r="CNF134" t="s">
        <v>61</v>
      </c>
      <c r="CNG134" t="s">
        <v>61</v>
      </c>
      <c r="CNH134" t="s">
        <v>61</v>
      </c>
      <c r="CNI134" t="s">
        <v>61</v>
      </c>
      <c r="CNJ134" t="s">
        <v>61</v>
      </c>
      <c r="CNK134" t="s">
        <v>61</v>
      </c>
      <c r="CNL134" t="s">
        <v>61</v>
      </c>
      <c r="CNM134" t="s">
        <v>61</v>
      </c>
      <c r="CNN134" t="s">
        <v>61</v>
      </c>
      <c r="CNO134" t="s">
        <v>61</v>
      </c>
      <c r="CNP134" t="s">
        <v>61</v>
      </c>
      <c r="CNQ134" t="s">
        <v>61</v>
      </c>
      <c r="CNR134" t="s">
        <v>61</v>
      </c>
      <c r="CNS134" t="s">
        <v>61</v>
      </c>
      <c r="CNT134" t="s">
        <v>61</v>
      </c>
      <c r="CNU134" t="s">
        <v>61</v>
      </c>
      <c r="CNV134" t="s">
        <v>61</v>
      </c>
      <c r="CNW134" t="s">
        <v>61</v>
      </c>
      <c r="CNX134" t="s">
        <v>61</v>
      </c>
      <c r="CNY134" t="s">
        <v>61</v>
      </c>
      <c r="CNZ134" t="s">
        <v>61</v>
      </c>
      <c r="COA134" t="s">
        <v>61</v>
      </c>
      <c r="COB134" t="s">
        <v>61</v>
      </c>
      <c r="COC134" t="s">
        <v>61</v>
      </c>
      <c r="COD134" t="s">
        <v>61</v>
      </c>
      <c r="COE134" t="s">
        <v>61</v>
      </c>
      <c r="COF134" t="s">
        <v>61</v>
      </c>
      <c r="COG134" t="s">
        <v>61</v>
      </c>
      <c r="COH134" t="s">
        <v>61</v>
      </c>
      <c r="COI134" t="s">
        <v>61</v>
      </c>
      <c r="COJ134" t="s">
        <v>61</v>
      </c>
      <c r="COK134" t="s">
        <v>61</v>
      </c>
      <c r="COL134" t="s">
        <v>61</v>
      </c>
      <c r="COM134" t="s">
        <v>61</v>
      </c>
      <c r="CON134" t="s">
        <v>61</v>
      </c>
      <c r="COO134" t="s">
        <v>61</v>
      </c>
      <c r="COP134" t="s">
        <v>61</v>
      </c>
      <c r="COQ134" t="s">
        <v>61</v>
      </c>
      <c r="COR134" t="s">
        <v>61</v>
      </c>
      <c r="COS134" t="s">
        <v>61</v>
      </c>
      <c r="COT134" t="s">
        <v>61</v>
      </c>
      <c r="COU134" t="s">
        <v>61</v>
      </c>
      <c r="COV134" t="s">
        <v>61</v>
      </c>
      <c r="COW134" t="s">
        <v>61</v>
      </c>
      <c r="COX134" t="s">
        <v>61</v>
      </c>
      <c r="COY134" t="s">
        <v>61</v>
      </c>
      <c r="COZ134" t="s">
        <v>61</v>
      </c>
      <c r="CPA134" t="s">
        <v>61</v>
      </c>
      <c r="CPB134" t="s">
        <v>61</v>
      </c>
      <c r="CPC134" t="s">
        <v>61</v>
      </c>
      <c r="CPD134" t="s">
        <v>61</v>
      </c>
      <c r="CPE134" t="s">
        <v>61</v>
      </c>
      <c r="CPF134" t="s">
        <v>61</v>
      </c>
      <c r="CPG134" t="s">
        <v>61</v>
      </c>
      <c r="CPH134" t="s">
        <v>61</v>
      </c>
      <c r="CPI134" t="s">
        <v>61</v>
      </c>
      <c r="CPJ134" t="s">
        <v>61</v>
      </c>
      <c r="CPK134" t="s">
        <v>61</v>
      </c>
      <c r="CPL134" t="s">
        <v>61</v>
      </c>
      <c r="CPM134" t="s">
        <v>61</v>
      </c>
      <c r="CPN134" t="s">
        <v>61</v>
      </c>
      <c r="CPO134" t="s">
        <v>61</v>
      </c>
      <c r="CPP134" t="s">
        <v>61</v>
      </c>
      <c r="CPQ134" t="s">
        <v>61</v>
      </c>
      <c r="CPR134" t="s">
        <v>61</v>
      </c>
      <c r="CPS134" t="s">
        <v>61</v>
      </c>
      <c r="CPT134" t="s">
        <v>61</v>
      </c>
      <c r="CPU134" t="s">
        <v>61</v>
      </c>
      <c r="CPV134" t="s">
        <v>61</v>
      </c>
      <c r="CPW134" t="s">
        <v>61</v>
      </c>
      <c r="CPX134" t="s">
        <v>61</v>
      </c>
      <c r="CPY134" t="s">
        <v>61</v>
      </c>
      <c r="CPZ134" t="s">
        <v>61</v>
      </c>
      <c r="CQA134" t="s">
        <v>61</v>
      </c>
      <c r="CQB134" t="s">
        <v>61</v>
      </c>
      <c r="CQC134" t="s">
        <v>61</v>
      </c>
      <c r="CQD134" t="s">
        <v>61</v>
      </c>
      <c r="CQE134" t="s">
        <v>61</v>
      </c>
      <c r="CQF134" t="s">
        <v>61</v>
      </c>
      <c r="CQG134" t="s">
        <v>61</v>
      </c>
      <c r="CQH134" t="s">
        <v>61</v>
      </c>
      <c r="CQI134" t="s">
        <v>61</v>
      </c>
      <c r="CQJ134" t="s">
        <v>61</v>
      </c>
      <c r="CQK134" t="s">
        <v>61</v>
      </c>
      <c r="CQL134" t="s">
        <v>61</v>
      </c>
      <c r="CQM134" t="s">
        <v>61</v>
      </c>
      <c r="CQN134" t="s">
        <v>61</v>
      </c>
      <c r="CQO134" t="s">
        <v>61</v>
      </c>
      <c r="CQP134" t="s">
        <v>61</v>
      </c>
      <c r="CQQ134" t="s">
        <v>61</v>
      </c>
      <c r="CQR134" t="s">
        <v>61</v>
      </c>
      <c r="CQS134" t="s">
        <v>61</v>
      </c>
      <c r="CQT134" t="s">
        <v>61</v>
      </c>
      <c r="CQU134" t="s">
        <v>61</v>
      </c>
      <c r="CQV134" t="s">
        <v>61</v>
      </c>
      <c r="CQW134" t="s">
        <v>61</v>
      </c>
      <c r="CQX134" t="s">
        <v>61</v>
      </c>
      <c r="CQY134" t="s">
        <v>61</v>
      </c>
      <c r="CQZ134" t="s">
        <v>61</v>
      </c>
      <c r="CRA134" t="s">
        <v>61</v>
      </c>
      <c r="CRB134" t="s">
        <v>61</v>
      </c>
      <c r="CRC134" t="s">
        <v>61</v>
      </c>
      <c r="CRD134" t="s">
        <v>61</v>
      </c>
      <c r="CRE134" t="s">
        <v>61</v>
      </c>
      <c r="CRF134" t="s">
        <v>61</v>
      </c>
      <c r="CRG134" t="s">
        <v>61</v>
      </c>
      <c r="CRH134" t="s">
        <v>61</v>
      </c>
      <c r="CRI134" t="s">
        <v>61</v>
      </c>
      <c r="CRJ134" t="s">
        <v>61</v>
      </c>
      <c r="CRK134" t="s">
        <v>61</v>
      </c>
      <c r="CRL134" t="s">
        <v>61</v>
      </c>
      <c r="CRM134" t="s">
        <v>61</v>
      </c>
      <c r="CRN134" t="s">
        <v>61</v>
      </c>
      <c r="CRO134" t="s">
        <v>61</v>
      </c>
      <c r="CRP134" t="s">
        <v>61</v>
      </c>
      <c r="CRQ134" t="s">
        <v>61</v>
      </c>
      <c r="CRR134" t="s">
        <v>61</v>
      </c>
      <c r="CRS134" t="s">
        <v>61</v>
      </c>
      <c r="CRT134" t="s">
        <v>61</v>
      </c>
      <c r="CRU134" t="s">
        <v>61</v>
      </c>
      <c r="CRV134" t="s">
        <v>61</v>
      </c>
      <c r="CRW134" t="s">
        <v>61</v>
      </c>
      <c r="CRX134" t="s">
        <v>61</v>
      </c>
      <c r="CRY134" t="s">
        <v>61</v>
      </c>
      <c r="CRZ134" t="s">
        <v>61</v>
      </c>
      <c r="CSA134" t="s">
        <v>61</v>
      </c>
      <c r="CSB134" t="s">
        <v>61</v>
      </c>
      <c r="CSC134" t="s">
        <v>61</v>
      </c>
      <c r="CSD134" t="s">
        <v>61</v>
      </c>
      <c r="CSE134" t="s">
        <v>61</v>
      </c>
      <c r="CSF134" t="s">
        <v>61</v>
      </c>
      <c r="CSG134" t="s">
        <v>61</v>
      </c>
      <c r="CSH134" t="s">
        <v>61</v>
      </c>
      <c r="CSI134" t="s">
        <v>61</v>
      </c>
      <c r="CSJ134" t="s">
        <v>61</v>
      </c>
      <c r="CSK134" t="s">
        <v>61</v>
      </c>
      <c r="CSL134" t="s">
        <v>61</v>
      </c>
      <c r="CSM134" t="s">
        <v>61</v>
      </c>
      <c r="CSN134" t="s">
        <v>61</v>
      </c>
      <c r="CSO134" t="s">
        <v>61</v>
      </c>
      <c r="CSP134" t="s">
        <v>61</v>
      </c>
      <c r="CSQ134" t="s">
        <v>61</v>
      </c>
      <c r="CSR134" t="s">
        <v>61</v>
      </c>
      <c r="CSS134" t="s">
        <v>61</v>
      </c>
      <c r="CST134" t="s">
        <v>61</v>
      </c>
      <c r="CSU134" t="s">
        <v>61</v>
      </c>
      <c r="CSV134" t="s">
        <v>61</v>
      </c>
      <c r="CSW134" t="s">
        <v>61</v>
      </c>
      <c r="CSX134" t="s">
        <v>61</v>
      </c>
      <c r="CSY134" t="s">
        <v>61</v>
      </c>
      <c r="CSZ134" t="s">
        <v>61</v>
      </c>
      <c r="CTA134" t="s">
        <v>61</v>
      </c>
      <c r="CTB134" t="s">
        <v>61</v>
      </c>
      <c r="CTC134" t="s">
        <v>61</v>
      </c>
      <c r="CTD134" t="s">
        <v>61</v>
      </c>
      <c r="CTE134" t="s">
        <v>61</v>
      </c>
      <c r="CTF134" t="s">
        <v>61</v>
      </c>
      <c r="CTG134" t="s">
        <v>61</v>
      </c>
      <c r="CTH134" t="s">
        <v>61</v>
      </c>
      <c r="CTI134" t="s">
        <v>61</v>
      </c>
      <c r="CTJ134" t="s">
        <v>61</v>
      </c>
      <c r="CTK134" t="s">
        <v>61</v>
      </c>
      <c r="CTL134" t="s">
        <v>61</v>
      </c>
      <c r="CTM134" t="s">
        <v>61</v>
      </c>
      <c r="CTN134" t="s">
        <v>61</v>
      </c>
      <c r="CTO134" t="s">
        <v>61</v>
      </c>
      <c r="CTP134" t="s">
        <v>61</v>
      </c>
      <c r="CTQ134" t="s">
        <v>61</v>
      </c>
      <c r="CTR134" t="s">
        <v>61</v>
      </c>
      <c r="CTS134" t="s">
        <v>61</v>
      </c>
      <c r="CTT134" t="s">
        <v>61</v>
      </c>
      <c r="CTU134" t="s">
        <v>61</v>
      </c>
      <c r="CTV134" t="s">
        <v>61</v>
      </c>
      <c r="CTW134" t="s">
        <v>61</v>
      </c>
      <c r="CTX134" t="s">
        <v>61</v>
      </c>
      <c r="CTY134" t="s">
        <v>61</v>
      </c>
      <c r="CTZ134" t="s">
        <v>61</v>
      </c>
      <c r="CUA134" t="s">
        <v>61</v>
      </c>
      <c r="CUB134" t="s">
        <v>61</v>
      </c>
      <c r="CUC134" t="s">
        <v>61</v>
      </c>
      <c r="CUD134" t="s">
        <v>61</v>
      </c>
      <c r="CUE134" t="s">
        <v>61</v>
      </c>
      <c r="CUF134" t="s">
        <v>61</v>
      </c>
      <c r="CUG134" t="s">
        <v>61</v>
      </c>
      <c r="CUH134" t="s">
        <v>61</v>
      </c>
      <c r="CUI134" t="s">
        <v>61</v>
      </c>
      <c r="CUJ134" t="s">
        <v>61</v>
      </c>
      <c r="CUK134" t="s">
        <v>61</v>
      </c>
      <c r="CUL134" t="s">
        <v>61</v>
      </c>
      <c r="CUM134" t="s">
        <v>61</v>
      </c>
      <c r="CUN134" t="s">
        <v>61</v>
      </c>
      <c r="CUO134" t="s">
        <v>61</v>
      </c>
      <c r="CUP134" t="s">
        <v>61</v>
      </c>
      <c r="CUQ134" t="s">
        <v>61</v>
      </c>
      <c r="CUR134" t="s">
        <v>61</v>
      </c>
      <c r="CUS134" t="s">
        <v>61</v>
      </c>
      <c r="CUT134" t="s">
        <v>61</v>
      </c>
      <c r="CUU134" t="s">
        <v>61</v>
      </c>
      <c r="CUV134" t="s">
        <v>61</v>
      </c>
      <c r="CUW134" t="s">
        <v>61</v>
      </c>
      <c r="CUX134" t="s">
        <v>61</v>
      </c>
      <c r="CUY134" t="s">
        <v>61</v>
      </c>
      <c r="CUZ134" t="s">
        <v>61</v>
      </c>
      <c r="CVA134" t="s">
        <v>61</v>
      </c>
      <c r="CVB134" t="s">
        <v>61</v>
      </c>
      <c r="CVC134" t="s">
        <v>61</v>
      </c>
      <c r="CVD134" t="s">
        <v>61</v>
      </c>
      <c r="CVE134" t="s">
        <v>61</v>
      </c>
      <c r="CVF134" t="s">
        <v>61</v>
      </c>
      <c r="CVG134" t="s">
        <v>61</v>
      </c>
      <c r="CVH134" t="s">
        <v>61</v>
      </c>
      <c r="CVI134" t="s">
        <v>61</v>
      </c>
      <c r="CVJ134" t="s">
        <v>61</v>
      </c>
      <c r="CVK134" t="s">
        <v>61</v>
      </c>
      <c r="CVL134" t="s">
        <v>61</v>
      </c>
      <c r="CVM134" t="s">
        <v>61</v>
      </c>
      <c r="CVN134" t="s">
        <v>61</v>
      </c>
      <c r="CVO134" t="s">
        <v>61</v>
      </c>
      <c r="CVP134" t="s">
        <v>61</v>
      </c>
      <c r="CVQ134" t="s">
        <v>61</v>
      </c>
      <c r="CVR134" t="s">
        <v>61</v>
      </c>
      <c r="CVS134" t="s">
        <v>61</v>
      </c>
      <c r="CVT134" t="s">
        <v>61</v>
      </c>
      <c r="CVU134" t="s">
        <v>61</v>
      </c>
      <c r="CVV134" t="s">
        <v>61</v>
      </c>
      <c r="CVW134" t="s">
        <v>61</v>
      </c>
      <c r="CVX134" t="s">
        <v>61</v>
      </c>
      <c r="CVY134" t="s">
        <v>61</v>
      </c>
      <c r="CVZ134" t="s">
        <v>61</v>
      </c>
      <c r="CWA134" t="s">
        <v>61</v>
      </c>
      <c r="CWB134" t="s">
        <v>61</v>
      </c>
      <c r="CWC134" t="s">
        <v>61</v>
      </c>
      <c r="CWD134" t="s">
        <v>61</v>
      </c>
      <c r="CWE134" t="s">
        <v>61</v>
      </c>
      <c r="CWF134" t="s">
        <v>61</v>
      </c>
      <c r="CWG134" t="s">
        <v>61</v>
      </c>
      <c r="CWH134" t="s">
        <v>61</v>
      </c>
      <c r="CWI134" t="s">
        <v>61</v>
      </c>
      <c r="CWJ134" t="s">
        <v>61</v>
      </c>
      <c r="CWK134" t="s">
        <v>61</v>
      </c>
      <c r="CWL134" t="s">
        <v>61</v>
      </c>
      <c r="CWM134" t="s">
        <v>61</v>
      </c>
      <c r="CWN134" t="s">
        <v>61</v>
      </c>
      <c r="CWO134" t="s">
        <v>61</v>
      </c>
      <c r="CWP134" t="s">
        <v>61</v>
      </c>
      <c r="CWQ134" t="s">
        <v>61</v>
      </c>
      <c r="CWR134" t="s">
        <v>61</v>
      </c>
      <c r="CWS134" t="s">
        <v>61</v>
      </c>
      <c r="CWT134" t="s">
        <v>61</v>
      </c>
      <c r="CWU134" t="s">
        <v>61</v>
      </c>
      <c r="CWV134" t="s">
        <v>61</v>
      </c>
      <c r="CWW134" t="s">
        <v>61</v>
      </c>
      <c r="CWX134" t="s">
        <v>61</v>
      </c>
      <c r="CWY134" t="s">
        <v>61</v>
      </c>
      <c r="CWZ134" t="s">
        <v>61</v>
      </c>
      <c r="CXA134" t="s">
        <v>61</v>
      </c>
      <c r="CXB134" t="s">
        <v>61</v>
      </c>
      <c r="CXC134" t="s">
        <v>61</v>
      </c>
      <c r="CXD134" t="s">
        <v>61</v>
      </c>
      <c r="CXE134" t="s">
        <v>61</v>
      </c>
      <c r="CXF134" t="s">
        <v>61</v>
      </c>
      <c r="CXG134" t="s">
        <v>61</v>
      </c>
      <c r="CXH134" t="s">
        <v>61</v>
      </c>
      <c r="CXI134" t="s">
        <v>61</v>
      </c>
      <c r="CXJ134" t="s">
        <v>61</v>
      </c>
      <c r="CXK134" t="s">
        <v>61</v>
      </c>
      <c r="CXL134" t="s">
        <v>61</v>
      </c>
      <c r="CXM134" t="s">
        <v>61</v>
      </c>
      <c r="CXN134" t="s">
        <v>61</v>
      </c>
      <c r="CXO134" t="s">
        <v>61</v>
      </c>
      <c r="CXP134" t="s">
        <v>61</v>
      </c>
      <c r="CXQ134" t="s">
        <v>61</v>
      </c>
      <c r="CXR134" t="s">
        <v>61</v>
      </c>
      <c r="CXS134" t="s">
        <v>61</v>
      </c>
      <c r="CXT134" t="s">
        <v>61</v>
      </c>
      <c r="CXU134" t="s">
        <v>61</v>
      </c>
      <c r="CXV134" t="s">
        <v>61</v>
      </c>
      <c r="CXW134" t="s">
        <v>61</v>
      </c>
      <c r="CXX134" t="s">
        <v>61</v>
      </c>
      <c r="CXY134" t="s">
        <v>61</v>
      </c>
      <c r="CXZ134" t="s">
        <v>61</v>
      </c>
      <c r="CYA134" t="s">
        <v>61</v>
      </c>
      <c r="CYB134" t="s">
        <v>61</v>
      </c>
      <c r="CYC134" t="s">
        <v>61</v>
      </c>
      <c r="CYD134" t="s">
        <v>61</v>
      </c>
      <c r="CYE134" t="s">
        <v>61</v>
      </c>
      <c r="CYF134" t="s">
        <v>61</v>
      </c>
      <c r="CYG134" t="s">
        <v>61</v>
      </c>
      <c r="CYH134" t="s">
        <v>61</v>
      </c>
      <c r="CYI134" t="s">
        <v>61</v>
      </c>
      <c r="CYJ134" t="s">
        <v>61</v>
      </c>
      <c r="CYK134" t="s">
        <v>61</v>
      </c>
      <c r="CYL134" t="s">
        <v>61</v>
      </c>
      <c r="CYM134" t="s">
        <v>61</v>
      </c>
      <c r="CYN134" t="s">
        <v>61</v>
      </c>
      <c r="CYO134" t="s">
        <v>61</v>
      </c>
      <c r="CYP134" t="s">
        <v>61</v>
      </c>
      <c r="CYQ134" t="s">
        <v>61</v>
      </c>
      <c r="CYR134" t="s">
        <v>61</v>
      </c>
      <c r="CYS134" t="s">
        <v>61</v>
      </c>
      <c r="CYT134" t="s">
        <v>61</v>
      </c>
      <c r="CYU134" t="s">
        <v>61</v>
      </c>
      <c r="CYV134" t="s">
        <v>61</v>
      </c>
      <c r="CYW134" t="s">
        <v>61</v>
      </c>
      <c r="CYX134" t="s">
        <v>61</v>
      </c>
      <c r="CYY134" t="s">
        <v>61</v>
      </c>
      <c r="CYZ134" t="s">
        <v>61</v>
      </c>
      <c r="CZA134" t="s">
        <v>61</v>
      </c>
      <c r="CZB134" t="s">
        <v>61</v>
      </c>
      <c r="CZC134" t="s">
        <v>61</v>
      </c>
      <c r="CZD134" t="s">
        <v>61</v>
      </c>
      <c r="CZE134" t="s">
        <v>61</v>
      </c>
      <c r="CZF134" t="s">
        <v>61</v>
      </c>
      <c r="CZG134" t="s">
        <v>61</v>
      </c>
      <c r="CZH134" t="s">
        <v>61</v>
      </c>
      <c r="CZI134" t="s">
        <v>61</v>
      </c>
      <c r="CZJ134" t="s">
        <v>61</v>
      </c>
      <c r="CZK134" t="s">
        <v>61</v>
      </c>
      <c r="CZL134" t="s">
        <v>61</v>
      </c>
      <c r="CZM134" t="s">
        <v>61</v>
      </c>
      <c r="CZN134" t="s">
        <v>61</v>
      </c>
      <c r="CZO134" t="s">
        <v>61</v>
      </c>
      <c r="CZP134" t="s">
        <v>61</v>
      </c>
      <c r="CZQ134" t="s">
        <v>61</v>
      </c>
      <c r="CZR134" t="s">
        <v>61</v>
      </c>
      <c r="CZS134" t="s">
        <v>61</v>
      </c>
      <c r="CZT134" t="s">
        <v>61</v>
      </c>
      <c r="CZU134" t="s">
        <v>61</v>
      </c>
      <c r="CZV134" t="s">
        <v>61</v>
      </c>
      <c r="CZW134" t="s">
        <v>61</v>
      </c>
      <c r="CZX134" t="s">
        <v>61</v>
      </c>
      <c r="CZY134" t="s">
        <v>61</v>
      </c>
      <c r="CZZ134" t="s">
        <v>61</v>
      </c>
      <c r="DAA134" t="s">
        <v>61</v>
      </c>
      <c r="DAB134" t="s">
        <v>61</v>
      </c>
      <c r="DAC134" t="s">
        <v>61</v>
      </c>
      <c r="DAD134" t="s">
        <v>61</v>
      </c>
      <c r="DAE134" t="s">
        <v>61</v>
      </c>
      <c r="DAF134" t="s">
        <v>61</v>
      </c>
      <c r="DAG134" t="s">
        <v>61</v>
      </c>
      <c r="DAH134" t="s">
        <v>61</v>
      </c>
      <c r="DAI134" t="s">
        <v>61</v>
      </c>
      <c r="DAJ134" t="s">
        <v>61</v>
      </c>
      <c r="DAK134" t="s">
        <v>61</v>
      </c>
      <c r="DAL134" t="s">
        <v>61</v>
      </c>
      <c r="DAM134" t="s">
        <v>61</v>
      </c>
      <c r="DAN134" t="s">
        <v>61</v>
      </c>
      <c r="DAO134" t="s">
        <v>61</v>
      </c>
      <c r="DAP134" t="s">
        <v>61</v>
      </c>
      <c r="DAQ134" t="s">
        <v>61</v>
      </c>
      <c r="DAR134" t="s">
        <v>61</v>
      </c>
      <c r="DAS134" t="s">
        <v>61</v>
      </c>
      <c r="DAT134" t="s">
        <v>61</v>
      </c>
      <c r="DAU134" t="s">
        <v>61</v>
      </c>
      <c r="DAV134" t="s">
        <v>61</v>
      </c>
      <c r="DAW134" t="s">
        <v>61</v>
      </c>
      <c r="DAX134" t="s">
        <v>61</v>
      </c>
      <c r="DAY134" t="s">
        <v>61</v>
      </c>
      <c r="DAZ134" t="s">
        <v>61</v>
      </c>
      <c r="DBA134" t="s">
        <v>61</v>
      </c>
      <c r="DBB134" t="s">
        <v>61</v>
      </c>
      <c r="DBC134" t="s">
        <v>61</v>
      </c>
      <c r="DBD134" t="s">
        <v>61</v>
      </c>
      <c r="DBE134" t="s">
        <v>61</v>
      </c>
      <c r="DBF134" t="s">
        <v>61</v>
      </c>
      <c r="DBG134" t="s">
        <v>61</v>
      </c>
      <c r="DBH134" t="s">
        <v>61</v>
      </c>
      <c r="DBI134" t="s">
        <v>61</v>
      </c>
      <c r="DBJ134" t="s">
        <v>61</v>
      </c>
      <c r="DBK134" t="s">
        <v>61</v>
      </c>
      <c r="DBL134" t="s">
        <v>61</v>
      </c>
      <c r="DBM134" t="s">
        <v>61</v>
      </c>
      <c r="DBN134" t="s">
        <v>61</v>
      </c>
      <c r="DBO134" t="s">
        <v>61</v>
      </c>
      <c r="DBP134" t="s">
        <v>61</v>
      </c>
      <c r="DBQ134" t="s">
        <v>61</v>
      </c>
      <c r="DBR134" t="s">
        <v>61</v>
      </c>
      <c r="DBS134" t="s">
        <v>61</v>
      </c>
      <c r="DBT134" t="s">
        <v>61</v>
      </c>
      <c r="DBU134" t="s">
        <v>61</v>
      </c>
      <c r="DBV134" t="s">
        <v>61</v>
      </c>
      <c r="DBW134" t="s">
        <v>61</v>
      </c>
      <c r="DBX134" t="s">
        <v>61</v>
      </c>
      <c r="DBY134" t="s">
        <v>61</v>
      </c>
      <c r="DBZ134" t="s">
        <v>61</v>
      </c>
      <c r="DCA134" t="s">
        <v>61</v>
      </c>
      <c r="DCB134" t="s">
        <v>61</v>
      </c>
      <c r="DCC134" t="s">
        <v>61</v>
      </c>
      <c r="DCD134" t="s">
        <v>61</v>
      </c>
      <c r="DCE134" t="s">
        <v>61</v>
      </c>
      <c r="DCF134" t="s">
        <v>61</v>
      </c>
      <c r="DCG134" t="s">
        <v>61</v>
      </c>
      <c r="DCH134" t="s">
        <v>61</v>
      </c>
      <c r="DCI134" t="s">
        <v>61</v>
      </c>
      <c r="DCJ134" t="s">
        <v>61</v>
      </c>
      <c r="DCK134" t="s">
        <v>61</v>
      </c>
      <c r="DCL134" t="s">
        <v>61</v>
      </c>
      <c r="DCM134" t="s">
        <v>61</v>
      </c>
      <c r="DCN134" t="s">
        <v>61</v>
      </c>
      <c r="DCO134" t="s">
        <v>61</v>
      </c>
      <c r="DCP134" t="s">
        <v>61</v>
      </c>
      <c r="DCQ134" t="s">
        <v>61</v>
      </c>
      <c r="DCR134" t="s">
        <v>61</v>
      </c>
      <c r="DCS134" t="s">
        <v>61</v>
      </c>
      <c r="DCT134" t="s">
        <v>61</v>
      </c>
      <c r="DCU134" t="s">
        <v>61</v>
      </c>
      <c r="DCV134" t="s">
        <v>61</v>
      </c>
      <c r="DCW134" t="s">
        <v>61</v>
      </c>
      <c r="DCX134" t="s">
        <v>61</v>
      </c>
      <c r="DCY134" t="s">
        <v>61</v>
      </c>
      <c r="DCZ134" t="s">
        <v>61</v>
      </c>
      <c r="DDA134" t="s">
        <v>61</v>
      </c>
      <c r="DDB134" t="s">
        <v>61</v>
      </c>
      <c r="DDC134" t="s">
        <v>61</v>
      </c>
      <c r="DDD134" t="s">
        <v>61</v>
      </c>
      <c r="DDE134" t="s">
        <v>61</v>
      </c>
      <c r="DDF134" t="s">
        <v>61</v>
      </c>
      <c r="DDG134" t="s">
        <v>61</v>
      </c>
      <c r="DDH134" t="s">
        <v>61</v>
      </c>
      <c r="DDI134" t="s">
        <v>61</v>
      </c>
      <c r="DDJ134" t="s">
        <v>61</v>
      </c>
      <c r="DDK134" t="s">
        <v>61</v>
      </c>
      <c r="DDL134" t="s">
        <v>61</v>
      </c>
      <c r="DDM134" t="s">
        <v>61</v>
      </c>
      <c r="DDN134" t="s">
        <v>61</v>
      </c>
      <c r="DDO134" t="s">
        <v>61</v>
      </c>
      <c r="DDP134" t="s">
        <v>61</v>
      </c>
      <c r="DDQ134" t="s">
        <v>61</v>
      </c>
      <c r="DDR134" t="s">
        <v>61</v>
      </c>
      <c r="DDS134" t="s">
        <v>61</v>
      </c>
      <c r="DDT134" t="s">
        <v>61</v>
      </c>
      <c r="DDU134" t="s">
        <v>61</v>
      </c>
      <c r="DDV134" t="s">
        <v>61</v>
      </c>
      <c r="DDW134" t="s">
        <v>61</v>
      </c>
      <c r="DDX134" t="s">
        <v>61</v>
      </c>
      <c r="DDY134" t="s">
        <v>61</v>
      </c>
      <c r="DDZ134" t="s">
        <v>61</v>
      </c>
      <c r="DEA134" t="s">
        <v>61</v>
      </c>
      <c r="DEB134" t="s">
        <v>61</v>
      </c>
      <c r="DEC134" t="s">
        <v>61</v>
      </c>
      <c r="DED134" t="s">
        <v>61</v>
      </c>
      <c r="DEE134" t="s">
        <v>61</v>
      </c>
      <c r="DEF134" t="s">
        <v>61</v>
      </c>
      <c r="DEG134" t="s">
        <v>61</v>
      </c>
      <c r="DEH134" t="s">
        <v>61</v>
      </c>
      <c r="DEI134" t="s">
        <v>61</v>
      </c>
      <c r="DEJ134" t="s">
        <v>61</v>
      </c>
      <c r="DEK134" t="s">
        <v>61</v>
      </c>
      <c r="DEL134" t="s">
        <v>61</v>
      </c>
      <c r="DEM134" t="s">
        <v>61</v>
      </c>
      <c r="DEN134" t="s">
        <v>61</v>
      </c>
      <c r="DEO134" t="s">
        <v>61</v>
      </c>
      <c r="DEP134" t="s">
        <v>61</v>
      </c>
      <c r="DEQ134" t="s">
        <v>61</v>
      </c>
      <c r="DER134" t="s">
        <v>61</v>
      </c>
      <c r="DES134" t="s">
        <v>61</v>
      </c>
      <c r="DET134" t="s">
        <v>61</v>
      </c>
      <c r="DEU134" t="s">
        <v>61</v>
      </c>
      <c r="DEV134" t="s">
        <v>61</v>
      </c>
      <c r="DEW134" t="s">
        <v>61</v>
      </c>
      <c r="DEX134" t="s">
        <v>61</v>
      </c>
      <c r="DEY134" t="s">
        <v>61</v>
      </c>
      <c r="DEZ134" t="s">
        <v>61</v>
      </c>
      <c r="DFA134" t="s">
        <v>61</v>
      </c>
      <c r="DFB134" t="s">
        <v>61</v>
      </c>
      <c r="DFC134" t="s">
        <v>61</v>
      </c>
      <c r="DFD134" t="s">
        <v>61</v>
      </c>
      <c r="DFE134" t="s">
        <v>61</v>
      </c>
      <c r="DFF134" t="s">
        <v>61</v>
      </c>
      <c r="DFG134" t="s">
        <v>61</v>
      </c>
      <c r="DFH134" t="s">
        <v>61</v>
      </c>
      <c r="DFI134" t="s">
        <v>61</v>
      </c>
      <c r="DFJ134" t="s">
        <v>61</v>
      </c>
      <c r="DFK134" t="s">
        <v>61</v>
      </c>
      <c r="DFL134" t="s">
        <v>61</v>
      </c>
      <c r="DFM134" t="s">
        <v>61</v>
      </c>
      <c r="DFN134" t="s">
        <v>61</v>
      </c>
      <c r="DFO134" t="s">
        <v>61</v>
      </c>
      <c r="DFP134" t="s">
        <v>61</v>
      </c>
      <c r="DFQ134" t="s">
        <v>61</v>
      </c>
      <c r="DFR134" t="s">
        <v>61</v>
      </c>
      <c r="DFS134" t="s">
        <v>61</v>
      </c>
      <c r="DFT134" t="s">
        <v>61</v>
      </c>
      <c r="DFU134" t="s">
        <v>61</v>
      </c>
      <c r="DFV134" t="s">
        <v>61</v>
      </c>
      <c r="DFW134" t="s">
        <v>61</v>
      </c>
      <c r="DFX134" t="s">
        <v>61</v>
      </c>
      <c r="DFY134" t="s">
        <v>61</v>
      </c>
      <c r="DFZ134" t="s">
        <v>61</v>
      </c>
      <c r="DGA134" t="s">
        <v>61</v>
      </c>
      <c r="DGB134" t="s">
        <v>61</v>
      </c>
      <c r="DGC134" t="s">
        <v>61</v>
      </c>
      <c r="DGD134" t="s">
        <v>61</v>
      </c>
      <c r="DGE134" t="s">
        <v>61</v>
      </c>
      <c r="DGF134" t="s">
        <v>61</v>
      </c>
      <c r="DGG134" t="s">
        <v>61</v>
      </c>
      <c r="DGH134" t="s">
        <v>61</v>
      </c>
      <c r="DGI134" t="s">
        <v>61</v>
      </c>
      <c r="DGJ134" t="s">
        <v>61</v>
      </c>
      <c r="DGK134" t="s">
        <v>61</v>
      </c>
      <c r="DGL134" t="s">
        <v>61</v>
      </c>
      <c r="DGM134" t="s">
        <v>61</v>
      </c>
      <c r="DGN134" t="s">
        <v>61</v>
      </c>
      <c r="DGO134" t="s">
        <v>61</v>
      </c>
      <c r="DGP134" t="s">
        <v>61</v>
      </c>
      <c r="DGQ134" t="s">
        <v>61</v>
      </c>
      <c r="DGR134" t="s">
        <v>61</v>
      </c>
      <c r="DGS134" t="s">
        <v>61</v>
      </c>
      <c r="DGT134" t="s">
        <v>61</v>
      </c>
      <c r="DGU134" t="s">
        <v>61</v>
      </c>
      <c r="DGV134" t="s">
        <v>61</v>
      </c>
      <c r="DGW134" t="s">
        <v>61</v>
      </c>
      <c r="DGX134" t="s">
        <v>61</v>
      </c>
      <c r="DGY134" t="s">
        <v>61</v>
      </c>
      <c r="DGZ134" t="s">
        <v>61</v>
      </c>
      <c r="DHA134" t="s">
        <v>61</v>
      </c>
      <c r="DHB134" t="s">
        <v>61</v>
      </c>
      <c r="DHC134" t="s">
        <v>61</v>
      </c>
      <c r="DHD134" t="s">
        <v>61</v>
      </c>
      <c r="DHE134" t="s">
        <v>61</v>
      </c>
      <c r="DHF134" t="s">
        <v>61</v>
      </c>
      <c r="DHG134" t="s">
        <v>61</v>
      </c>
      <c r="DHH134" t="s">
        <v>61</v>
      </c>
      <c r="DHI134" t="s">
        <v>61</v>
      </c>
      <c r="DHJ134" t="s">
        <v>61</v>
      </c>
      <c r="DHK134" t="s">
        <v>61</v>
      </c>
      <c r="DHL134" t="s">
        <v>61</v>
      </c>
      <c r="DHM134" t="s">
        <v>61</v>
      </c>
      <c r="DHN134" t="s">
        <v>61</v>
      </c>
      <c r="DHO134" t="s">
        <v>61</v>
      </c>
      <c r="DHP134" t="s">
        <v>61</v>
      </c>
      <c r="DHQ134" t="s">
        <v>61</v>
      </c>
      <c r="DHR134" t="s">
        <v>61</v>
      </c>
      <c r="DHS134" t="s">
        <v>61</v>
      </c>
      <c r="DHT134" t="s">
        <v>61</v>
      </c>
      <c r="DHU134" t="s">
        <v>61</v>
      </c>
      <c r="DHV134" t="s">
        <v>61</v>
      </c>
      <c r="DHW134" t="s">
        <v>61</v>
      </c>
      <c r="DHX134" t="s">
        <v>61</v>
      </c>
      <c r="DHY134" t="s">
        <v>61</v>
      </c>
      <c r="DHZ134" t="s">
        <v>61</v>
      </c>
      <c r="DIA134" t="s">
        <v>61</v>
      </c>
      <c r="DIB134" t="s">
        <v>61</v>
      </c>
      <c r="DIC134" t="s">
        <v>61</v>
      </c>
      <c r="DID134" t="s">
        <v>61</v>
      </c>
      <c r="DIE134" t="s">
        <v>61</v>
      </c>
      <c r="DIF134" t="s">
        <v>61</v>
      </c>
      <c r="DIG134" t="s">
        <v>61</v>
      </c>
      <c r="DIH134" t="s">
        <v>61</v>
      </c>
      <c r="DII134" t="s">
        <v>61</v>
      </c>
      <c r="DIJ134" t="s">
        <v>61</v>
      </c>
      <c r="DIK134" t="s">
        <v>61</v>
      </c>
      <c r="DIL134" t="s">
        <v>61</v>
      </c>
      <c r="DIM134" t="s">
        <v>61</v>
      </c>
      <c r="DIN134" t="s">
        <v>61</v>
      </c>
      <c r="DIO134" t="s">
        <v>61</v>
      </c>
      <c r="DIP134" t="s">
        <v>61</v>
      </c>
      <c r="DIQ134" t="s">
        <v>61</v>
      </c>
      <c r="DIR134" t="s">
        <v>61</v>
      </c>
      <c r="DIS134" t="s">
        <v>61</v>
      </c>
      <c r="DIT134" t="s">
        <v>61</v>
      </c>
      <c r="DIU134" t="s">
        <v>61</v>
      </c>
      <c r="DIV134" t="s">
        <v>61</v>
      </c>
      <c r="DIW134" t="s">
        <v>61</v>
      </c>
      <c r="DIX134" t="s">
        <v>61</v>
      </c>
      <c r="DIY134" t="s">
        <v>61</v>
      </c>
      <c r="DIZ134" t="s">
        <v>61</v>
      </c>
      <c r="DJA134" t="s">
        <v>61</v>
      </c>
      <c r="DJB134" t="s">
        <v>61</v>
      </c>
      <c r="DJC134" t="s">
        <v>61</v>
      </c>
      <c r="DJD134" t="s">
        <v>61</v>
      </c>
      <c r="DJE134" t="s">
        <v>61</v>
      </c>
      <c r="DJF134" t="s">
        <v>61</v>
      </c>
      <c r="DJG134" t="s">
        <v>61</v>
      </c>
      <c r="DJH134" t="s">
        <v>61</v>
      </c>
      <c r="DJI134" t="s">
        <v>61</v>
      </c>
      <c r="DJJ134" t="s">
        <v>61</v>
      </c>
      <c r="DJK134" t="s">
        <v>61</v>
      </c>
      <c r="DJL134" t="s">
        <v>61</v>
      </c>
      <c r="DJM134" t="s">
        <v>61</v>
      </c>
      <c r="DJN134" t="s">
        <v>61</v>
      </c>
      <c r="DJO134" t="s">
        <v>61</v>
      </c>
      <c r="DJP134" t="s">
        <v>61</v>
      </c>
      <c r="DJQ134" t="s">
        <v>61</v>
      </c>
      <c r="DJR134" t="s">
        <v>61</v>
      </c>
      <c r="DJS134" t="s">
        <v>61</v>
      </c>
      <c r="DJT134" t="s">
        <v>61</v>
      </c>
      <c r="DJU134" t="s">
        <v>61</v>
      </c>
      <c r="DJV134" t="s">
        <v>61</v>
      </c>
      <c r="DJW134" t="s">
        <v>61</v>
      </c>
      <c r="DJX134" t="s">
        <v>61</v>
      </c>
      <c r="DJY134" t="s">
        <v>61</v>
      </c>
      <c r="DJZ134" t="s">
        <v>61</v>
      </c>
      <c r="DKA134" t="s">
        <v>61</v>
      </c>
      <c r="DKB134" t="s">
        <v>61</v>
      </c>
      <c r="DKC134" t="s">
        <v>61</v>
      </c>
      <c r="DKD134" t="s">
        <v>61</v>
      </c>
      <c r="DKE134" t="s">
        <v>61</v>
      </c>
      <c r="DKF134" t="s">
        <v>61</v>
      </c>
      <c r="DKG134" t="s">
        <v>61</v>
      </c>
      <c r="DKH134" t="s">
        <v>61</v>
      </c>
      <c r="DKI134" t="s">
        <v>61</v>
      </c>
      <c r="DKJ134" t="s">
        <v>61</v>
      </c>
      <c r="DKK134" t="s">
        <v>61</v>
      </c>
      <c r="DKL134" t="s">
        <v>61</v>
      </c>
      <c r="DKM134" t="s">
        <v>61</v>
      </c>
      <c r="DKN134" t="s">
        <v>61</v>
      </c>
      <c r="DKO134" t="s">
        <v>61</v>
      </c>
      <c r="DKP134" t="s">
        <v>61</v>
      </c>
      <c r="DKQ134" t="s">
        <v>61</v>
      </c>
      <c r="DKR134" t="s">
        <v>61</v>
      </c>
      <c r="DKS134" t="s">
        <v>61</v>
      </c>
      <c r="DKT134" t="s">
        <v>61</v>
      </c>
      <c r="DKU134" t="s">
        <v>61</v>
      </c>
      <c r="DKV134" t="s">
        <v>61</v>
      </c>
      <c r="DKW134" t="s">
        <v>61</v>
      </c>
      <c r="DKX134" t="s">
        <v>61</v>
      </c>
      <c r="DKY134" t="s">
        <v>61</v>
      </c>
      <c r="DKZ134" t="s">
        <v>61</v>
      </c>
      <c r="DLA134" t="s">
        <v>61</v>
      </c>
      <c r="DLB134" t="s">
        <v>61</v>
      </c>
      <c r="DLC134" t="s">
        <v>61</v>
      </c>
      <c r="DLD134" t="s">
        <v>61</v>
      </c>
      <c r="DLE134" t="s">
        <v>61</v>
      </c>
      <c r="DLF134" t="s">
        <v>61</v>
      </c>
      <c r="DLG134" t="s">
        <v>61</v>
      </c>
      <c r="DLH134" t="s">
        <v>61</v>
      </c>
      <c r="DLI134" t="s">
        <v>61</v>
      </c>
      <c r="DLJ134" t="s">
        <v>61</v>
      </c>
      <c r="DLK134" t="s">
        <v>61</v>
      </c>
      <c r="DLL134" t="s">
        <v>61</v>
      </c>
      <c r="DLM134" t="s">
        <v>61</v>
      </c>
      <c r="DLN134" t="s">
        <v>61</v>
      </c>
      <c r="DLO134" t="s">
        <v>61</v>
      </c>
      <c r="DLP134" t="s">
        <v>61</v>
      </c>
      <c r="DLQ134" t="s">
        <v>61</v>
      </c>
      <c r="DLR134" t="s">
        <v>61</v>
      </c>
      <c r="DLS134" t="s">
        <v>61</v>
      </c>
      <c r="DLT134" t="s">
        <v>61</v>
      </c>
      <c r="DLU134" t="s">
        <v>61</v>
      </c>
      <c r="DLV134" t="s">
        <v>61</v>
      </c>
      <c r="DLW134" t="s">
        <v>61</v>
      </c>
      <c r="DLX134" t="s">
        <v>61</v>
      </c>
      <c r="DLY134" t="s">
        <v>61</v>
      </c>
      <c r="DLZ134" t="s">
        <v>61</v>
      </c>
      <c r="DMA134" t="s">
        <v>61</v>
      </c>
      <c r="DMB134" t="s">
        <v>61</v>
      </c>
      <c r="DMC134" t="s">
        <v>61</v>
      </c>
      <c r="DMD134" t="s">
        <v>61</v>
      </c>
      <c r="DME134" t="s">
        <v>61</v>
      </c>
      <c r="DMF134" t="s">
        <v>61</v>
      </c>
      <c r="DMG134" t="s">
        <v>61</v>
      </c>
      <c r="DMH134" t="s">
        <v>61</v>
      </c>
      <c r="DMI134" t="s">
        <v>61</v>
      </c>
      <c r="DMJ134" t="s">
        <v>61</v>
      </c>
      <c r="DMK134" t="s">
        <v>61</v>
      </c>
      <c r="DML134" t="s">
        <v>61</v>
      </c>
      <c r="DMM134" t="s">
        <v>61</v>
      </c>
      <c r="DMN134" t="s">
        <v>61</v>
      </c>
      <c r="DMO134" t="s">
        <v>61</v>
      </c>
      <c r="DMP134" t="s">
        <v>61</v>
      </c>
      <c r="DMQ134" t="s">
        <v>61</v>
      </c>
      <c r="DMR134" t="s">
        <v>61</v>
      </c>
      <c r="DMS134" t="s">
        <v>61</v>
      </c>
      <c r="DMT134" t="s">
        <v>61</v>
      </c>
      <c r="DMU134" t="s">
        <v>61</v>
      </c>
      <c r="DMV134" t="s">
        <v>61</v>
      </c>
      <c r="DMW134" t="s">
        <v>61</v>
      </c>
      <c r="DMX134" t="s">
        <v>61</v>
      </c>
      <c r="DMY134" t="s">
        <v>61</v>
      </c>
      <c r="DMZ134" t="s">
        <v>61</v>
      </c>
      <c r="DNA134" t="s">
        <v>61</v>
      </c>
      <c r="DNB134" t="s">
        <v>61</v>
      </c>
      <c r="DNC134" t="s">
        <v>61</v>
      </c>
      <c r="DND134" t="s">
        <v>61</v>
      </c>
      <c r="DNE134" t="s">
        <v>61</v>
      </c>
      <c r="DNF134" t="s">
        <v>61</v>
      </c>
      <c r="DNG134" t="s">
        <v>61</v>
      </c>
      <c r="DNH134" t="s">
        <v>61</v>
      </c>
      <c r="DNI134" t="s">
        <v>61</v>
      </c>
      <c r="DNJ134" t="s">
        <v>61</v>
      </c>
      <c r="DNK134" t="s">
        <v>61</v>
      </c>
      <c r="DNL134" t="s">
        <v>61</v>
      </c>
      <c r="DNM134" t="s">
        <v>61</v>
      </c>
      <c r="DNN134" t="s">
        <v>61</v>
      </c>
      <c r="DNO134" t="s">
        <v>61</v>
      </c>
      <c r="DNP134" t="s">
        <v>61</v>
      </c>
      <c r="DNQ134" t="s">
        <v>61</v>
      </c>
      <c r="DNR134" t="s">
        <v>61</v>
      </c>
      <c r="DNS134" t="s">
        <v>61</v>
      </c>
      <c r="DNT134" t="s">
        <v>61</v>
      </c>
      <c r="DNU134" t="s">
        <v>61</v>
      </c>
      <c r="DNV134" t="s">
        <v>61</v>
      </c>
      <c r="DNW134" t="s">
        <v>61</v>
      </c>
      <c r="DNX134" t="s">
        <v>61</v>
      </c>
      <c r="DNY134" t="s">
        <v>61</v>
      </c>
      <c r="DNZ134" t="s">
        <v>61</v>
      </c>
      <c r="DOA134" t="s">
        <v>61</v>
      </c>
      <c r="DOB134" t="s">
        <v>61</v>
      </c>
      <c r="DOC134" t="s">
        <v>61</v>
      </c>
      <c r="DOD134" t="s">
        <v>61</v>
      </c>
      <c r="DOE134" t="s">
        <v>61</v>
      </c>
      <c r="DOF134" t="s">
        <v>61</v>
      </c>
      <c r="DOG134" t="s">
        <v>61</v>
      </c>
      <c r="DOH134" t="s">
        <v>61</v>
      </c>
      <c r="DOI134" t="s">
        <v>61</v>
      </c>
      <c r="DOJ134" t="s">
        <v>61</v>
      </c>
      <c r="DOK134" t="s">
        <v>61</v>
      </c>
      <c r="DOL134" t="s">
        <v>61</v>
      </c>
      <c r="DOM134" t="s">
        <v>61</v>
      </c>
      <c r="DON134" t="s">
        <v>61</v>
      </c>
      <c r="DOO134" t="s">
        <v>61</v>
      </c>
      <c r="DOP134" t="s">
        <v>61</v>
      </c>
      <c r="DOQ134" t="s">
        <v>61</v>
      </c>
      <c r="DOR134" t="s">
        <v>61</v>
      </c>
      <c r="DOS134" t="s">
        <v>61</v>
      </c>
      <c r="DOT134" t="s">
        <v>61</v>
      </c>
      <c r="DOU134" t="s">
        <v>61</v>
      </c>
      <c r="DOV134" t="s">
        <v>61</v>
      </c>
      <c r="DOW134" t="s">
        <v>61</v>
      </c>
      <c r="DOX134" t="s">
        <v>61</v>
      </c>
      <c r="DOY134" t="s">
        <v>61</v>
      </c>
      <c r="DOZ134" t="s">
        <v>61</v>
      </c>
      <c r="DPA134" t="s">
        <v>61</v>
      </c>
      <c r="DPB134" t="s">
        <v>61</v>
      </c>
      <c r="DPC134" t="s">
        <v>61</v>
      </c>
      <c r="DPD134" t="s">
        <v>61</v>
      </c>
      <c r="DPE134" t="s">
        <v>61</v>
      </c>
      <c r="DPF134" t="s">
        <v>61</v>
      </c>
      <c r="DPG134" t="s">
        <v>61</v>
      </c>
      <c r="DPH134" t="s">
        <v>61</v>
      </c>
      <c r="DPI134" t="s">
        <v>61</v>
      </c>
      <c r="DPJ134" t="s">
        <v>61</v>
      </c>
      <c r="DPK134" t="s">
        <v>61</v>
      </c>
      <c r="DPL134" t="s">
        <v>61</v>
      </c>
      <c r="DPM134" t="s">
        <v>61</v>
      </c>
      <c r="DPN134" t="s">
        <v>61</v>
      </c>
      <c r="DPO134" t="s">
        <v>61</v>
      </c>
      <c r="DPP134" t="s">
        <v>61</v>
      </c>
      <c r="DPQ134" t="s">
        <v>61</v>
      </c>
      <c r="DPR134" t="s">
        <v>61</v>
      </c>
      <c r="DPS134" t="s">
        <v>61</v>
      </c>
      <c r="DPT134" t="s">
        <v>61</v>
      </c>
      <c r="DPU134" t="s">
        <v>61</v>
      </c>
      <c r="DPV134" t="s">
        <v>61</v>
      </c>
      <c r="DPW134" t="s">
        <v>61</v>
      </c>
      <c r="DPX134" t="s">
        <v>61</v>
      </c>
      <c r="DPY134" t="s">
        <v>61</v>
      </c>
      <c r="DPZ134" t="s">
        <v>61</v>
      </c>
      <c r="DQA134" t="s">
        <v>61</v>
      </c>
      <c r="DQB134" t="s">
        <v>61</v>
      </c>
      <c r="DQC134" t="s">
        <v>61</v>
      </c>
      <c r="DQD134" t="s">
        <v>61</v>
      </c>
      <c r="DQE134" t="s">
        <v>61</v>
      </c>
      <c r="DQF134" t="s">
        <v>61</v>
      </c>
      <c r="DQG134" t="s">
        <v>61</v>
      </c>
      <c r="DQH134" t="s">
        <v>61</v>
      </c>
      <c r="DQI134" t="s">
        <v>61</v>
      </c>
      <c r="DQJ134" t="s">
        <v>61</v>
      </c>
      <c r="DQK134" t="s">
        <v>61</v>
      </c>
      <c r="DQL134" t="s">
        <v>61</v>
      </c>
      <c r="DQM134" t="s">
        <v>61</v>
      </c>
      <c r="DQN134" t="s">
        <v>61</v>
      </c>
      <c r="DQO134" t="s">
        <v>61</v>
      </c>
      <c r="DQP134" t="s">
        <v>61</v>
      </c>
      <c r="DQQ134" t="s">
        <v>61</v>
      </c>
      <c r="DQR134" t="s">
        <v>61</v>
      </c>
      <c r="DQS134" t="s">
        <v>61</v>
      </c>
      <c r="DQT134" t="s">
        <v>61</v>
      </c>
      <c r="DQU134" t="s">
        <v>61</v>
      </c>
      <c r="DQV134" t="s">
        <v>61</v>
      </c>
      <c r="DQW134" t="s">
        <v>61</v>
      </c>
      <c r="DQX134" t="s">
        <v>61</v>
      </c>
      <c r="DQY134" t="s">
        <v>61</v>
      </c>
      <c r="DQZ134" t="s">
        <v>61</v>
      </c>
      <c r="DRA134" t="s">
        <v>61</v>
      </c>
      <c r="DRB134" t="s">
        <v>61</v>
      </c>
      <c r="DRC134" t="s">
        <v>61</v>
      </c>
      <c r="DRD134" t="s">
        <v>61</v>
      </c>
      <c r="DRE134" t="s">
        <v>61</v>
      </c>
      <c r="DRF134" t="s">
        <v>61</v>
      </c>
      <c r="DRG134" t="s">
        <v>61</v>
      </c>
      <c r="DRH134" t="s">
        <v>61</v>
      </c>
      <c r="DRI134" t="s">
        <v>61</v>
      </c>
      <c r="DRJ134" t="s">
        <v>61</v>
      </c>
      <c r="DRK134" t="s">
        <v>61</v>
      </c>
      <c r="DRL134" t="s">
        <v>61</v>
      </c>
      <c r="DRM134" t="s">
        <v>61</v>
      </c>
      <c r="DRN134" t="s">
        <v>61</v>
      </c>
      <c r="DRO134" t="s">
        <v>61</v>
      </c>
      <c r="DRP134" t="s">
        <v>61</v>
      </c>
      <c r="DRQ134" t="s">
        <v>61</v>
      </c>
      <c r="DRR134" t="s">
        <v>61</v>
      </c>
      <c r="DRS134" t="s">
        <v>61</v>
      </c>
      <c r="DRT134" t="s">
        <v>61</v>
      </c>
      <c r="DRU134" t="s">
        <v>61</v>
      </c>
      <c r="DRV134" t="s">
        <v>61</v>
      </c>
      <c r="DRW134" t="s">
        <v>61</v>
      </c>
      <c r="DRX134" t="s">
        <v>61</v>
      </c>
      <c r="DRY134" t="s">
        <v>61</v>
      </c>
      <c r="DRZ134" t="s">
        <v>61</v>
      </c>
      <c r="DSA134" t="s">
        <v>61</v>
      </c>
      <c r="DSB134" t="s">
        <v>61</v>
      </c>
      <c r="DSC134" t="s">
        <v>61</v>
      </c>
      <c r="DSD134" t="s">
        <v>61</v>
      </c>
      <c r="DSE134" t="s">
        <v>61</v>
      </c>
      <c r="DSF134" t="s">
        <v>61</v>
      </c>
      <c r="DSG134" t="s">
        <v>61</v>
      </c>
      <c r="DSH134" t="s">
        <v>61</v>
      </c>
      <c r="DSI134" t="s">
        <v>61</v>
      </c>
      <c r="DSJ134" t="s">
        <v>61</v>
      </c>
      <c r="DSK134" t="s">
        <v>61</v>
      </c>
      <c r="DSL134" t="s">
        <v>61</v>
      </c>
      <c r="DSM134" t="s">
        <v>61</v>
      </c>
      <c r="DSN134" t="s">
        <v>61</v>
      </c>
      <c r="DSO134" t="s">
        <v>61</v>
      </c>
      <c r="DSP134" t="s">
        <v>61</v>
      </c>
      <c r="DSQ134" t="s">
        <v>61</v>
      </c>
      <c r="DSR134" t="s">
        <v>61</v>
      </c>
      <c r="DSS134" t="s">
        <v>61</v>
      </c>
      <c r="DST134" t="s">
        <v>61</v>
      </c>
      <c r="DSU134" t="s">
        <v>61</v>
      </c>
      <c r="DSV134" t="s">
        <v>61</v>
      </c>
      <c r="DSW134" t="s">
        <v>61</v>
      </c>
      <c r="DSX134" t="s">
        <v>61</v>
      </c>
      <c r="DSY134" t="s">
        <v>61</v>
      </c>
      <c r="DSZ134" t="s">
        <v>61</v>
      </c>
      <c r="DTA134" t="s">
        <v>61</v>
      </c>
      <c r="DTB134" t="s">
        <v>61</v>
      </c>
      <c r="DTC134" t="s">
        <v>61</v>
      </c>
      <c r="DTD134" t="s">
        <v>61</v>
      </c>
      <c r="DTE134" t="s">
        <v>61</v>
      </c>
      <c r="DTF134" t="s">
        <v>61</v>
      </c>
      <c r="DTG134" t="s">
        <v>61</v>
      </c>
      <c r="DTH134" t="s">
        <v>61</v>
      </c>
      <c r="DTI134" t="s">
        <v>61</v>
      </c>
      <c r="DTJ134" t="s">
        <v>61</v>
      </c>
      <c r="DTK134" t="s">
        <v>61</v>
      </c>
      <c r="DTL134" t="s">
        <v>61</v>
      </c>
      <c r="DTM134" t="s">
        <v>61</v>
      </c>
      <c r="DTN134" t="s">
        <v>61</v>
      </c>
      <c r="DTO134" t="s">
        <v>61</v>
      </c>
      <c r="DTP134" t="s">
        <v>61</v>
      </c>
      <c r="DTQ134" t="s">
        <v>61</v>
      </c>
      <c r="DTR134" t="s">
        <v>61</v>
      </c>
      <c r="DTS134" t="s">
        <v>61</v>
      </c>
      <c r="DTT134" t="s">
        <v>61</v>
      </c>
      <c r="DTU134" t="s">
        <v>61</v>
      </c>
      <c r="DTV134" t="s">
        <v>61</v>
      </c>
      <c r="DTW134" t="s">
        <v>61</v>
      </c>
      <c r="DTX134" t="s">
        <v>61</v>
      </c>
      <c r="DTY134" t="s">
        <v>61</v>
      </c>
      <c r="DTZ134" t="s">
        <v>61</v>
      </c>
      <c r="DUA134" t="s">
        <v>61</v>
      </c>
      <c r="DUB134" t="s">
        <v>61</v>
      </c>
      <c r="DUC134" t="s">
        <v>61</v>
      </c>
      <c r="DUD134" t="s">
        <v>61</v>
      </c>
      <c r="DUE134" t="s">
        <v>61</v>
      </c>
      <c r="DUF134" t="s">
        <v>61</v>
      </c>
      <c r="DUG134" t="s">
        <v>61</v>
      </c>
      <c r="DUH134" t="s">
        <v>61</v>
      </c>
      <c r="DUI134" t="s">
        <v>61</v>
      </c>
      <c r="DUJ134" t="s">
        <v>61</v>
      </c>
      <c r="DUK134" t="s">
        <v>61</v>
      </c>
      <c r="DUL134" t="s">
        <v>61</v>
      </c>
      <c r="DUM134" t="s">
        <v>61</v>
      </c>
      <c r="DUN134" t="s">
        <v>61</v>
      </c>
      <c r="DUO134" t="s">
        <v>61</v>
      </c>
      <c r="DUP134" t="s">
        <v>61</v>
      </c>
      <c r="DUQ134" t="s">
        <v>61</v>
      </c>
      <c r="DUR134" t="s">
        <v>61</v>
      </c>
      <c r="DUS134" t="s">
        <v>61</v>
      </c>
      <c r="DUT134" t="s">
        <v>61</v>
      </c>
      <c r="DUU134" t="s">
        <v>61</v>
      </c>
      <c r="DUV134" t="s">
        <v>61</v>
      </c>
      <c r="DUW134" t="s">
        <v>61</v>
      </c>
      <c r="DUX134" t="s">
        <v>61</v>
      </c>
      <c r="DUY134" t="s">
        <v>61</v>
      </c>
      <c r="DUZ134" t="s">
        <v>61</v>
      </c>
      <c r="DVA134" t="s">
        <v>61</v>
      </c>
      <c r="DVB134" t="s">
        <v>61</v>
      </c>
      <c r="DVC134" t="s">
        <v>61</v>
      </c>
      <c r="DVD134" t="s">
        <v>61</v>
      </c>
      <c r="DVE134" t="s">
        <v>61</v>
      </c>
      <c r="DVF134" t="s">
        <v>61</v>
      </c>
      <c r="DVG134" t="s">
        <v>61</v>
      </c>
      <c r="DVH134" t="s">
        <v>61</v>
      </c>
      <c r="DVI134" t="s">
        <v>61</v>
      </c>
      <c r="DVJ134" t="s">
        <v>61</v>
      </c>
      <c r="DVK134" t="s">
        <v>61</v>
      </c>
      <c r="DVL134" t="s">
        <v>61</v>
      </c>
      <c r="DVM134" t="s">
        <v>61</v>
      </c>
      <c r="DVN134" t="s">
        <v>61</v>
      </c>
      <c r="DVO134" t="s">
        <v>61</v>
      </c>
      <c r="DVP134" t="s">
        <v>61</v>
      </c>
      <c r="DVQ134" t="s">
        <v>61</v>
      </c>
      <c r="DVR134" t="s">
        <v>61</v>
      </c>
      <c r="DVS134" t="s">
        <v>61</v>
      </c>
      <c r="DVT134" t="s">
        <v>61</v>
      </c>
      <c r="DVU134" t="s">
        <v>61</v>
      </c>
      <c r="DVV134" t="s">
        <v>61</v>
      </c>
      <c r="DVW134" t="s">
        <v>61</v>
      </c>
      <c r="DVX134" t="s">
        <v>61</v>
      </c>
      <c r="DVY134" t="s">
        <v>61</v>
      </c>
      <c r="DVZ134" t="s">
        <v>61</v>
      </c>
      <c r="DWA134" t="s">
        <v>61</v>
      </c>
      <c r="DWB134" t="s">
        <v>61</v>
      </c>
      <c r="DWC134" t="s">
        <v>61</v>
      </c>
      <c r="DWD134" t="s">
        <v>61</v>
      </c>
      <c r="DWE134" t="s">
        <v>61</v>
      </c>
      <c r="DWF134" t="s">
        <v>61</v>
      </c>
      <c r="DWG134" t="s">
        <v>61</v>
      </c>
      <c r="DWH134" t="s">
        <v>61</v>
      </c>
      <c r="DWI134" t="s">
        <v>61</v>
      </c>
      <c r="DWJ134" t="s">
        <v>61</v>
      </c>
      <c r="DWK134" t="s">
        <v>61</v>
      </c>
      <c r="DWL134" t="s">
        <v>61</v>
      </c>
      <c r="DWM134" t="s">
        <v>61</v>
      </c>
      <c r="DWN134" t="s">
        <v>61</v>
      </c>
      <c r="DWO134" t="s">
        <v>61</v>
      </c>
      <c r="DWP134" t="s">
        <v>61</v>
      </c>
      <c r="DWQ134" t="s">
        <v>61</v>
      </c>
      <c r="DWR134" t="s">
        <v>61</v>
      </c>
      <c r="DWS134" t="s">
        <v>61</v>
      </c>
      <c r="DWT134" t="s">
        <v>61</v>
      </c>
      <c r="DWU134" t="s">
        <v>61</v>
      </c>
      <c r="DWV134" t="s">
        <v>61</v>
      </c>
      <c r="DWW134" t="s">
        <v>61</v>
      </c>
      <c r="DWX134" t="s">
        <v>61</v>
      </c>
      <c r="DWY134" t="s">
        <v>61</v>
      </c>
      <c r="DWZ134" t="s">
        <v>61</v>
      </c>
      <c r="DXA134" t="s">
        <v>61</v>
      </c>
      <c r="DXB134" t="s">
        <v>61</v>
      </c>
      <c r="DXC134" t="s">
        <v>61</v>
      </c>
      <c r="DXD134" t="s">
        <v>61</v>
      </c>
      <c r="DXE134" t="s">
        <v>61</v>
      </c>
      <c r="DXF134" t="s">
        <v>61</v>
      </c>
      <c r="DXG134" t="s">
        <v>61</v>
      </c>
      <c r="DXH134" t="s">
        <v>61</v>
      </c>
      <c r="DXI134" t="s">
        <v>61</v>
      </c>
      <c r="DXJ134" t="s">
        <v>61</v>
      </c>
      <c r="DXK134" t="s">
        <v>61</v>
      </c>
      <c r="DXL134" t="s">
        <v>61</v>
      </c>
      <c r="DXM134" t="s">
        <v>61</v>
      </c>
      <c r="DXN134" t="s">
        <v>61</v>
      </c>
      <c r="DXO134" t="s">
        <v>61</v>
      </c>
      <c r="DXP134" t="s">
        <v>61</v>
      </c>
      <c r="DXQ134" t="s">
        <v>61</v>
      </c>
      <c r="DXR134" t="s">
        <v>61</v>
      </c>
      <c r="DXS134" t="s">
        <v>61</v>
      </c>
      <c r="DXT134" t="s">
        <v>61</v>
      </c>
      <c r="DXU134" t="s">
        <v>61</v>
      </c>
      <c r="DXV134" t="s">
        <v>61</v>
      </c>
      <c r="DXW134" t="s">
        <v>61</v>
      </c>
      <c r="DXX134" t="s">
        <v>61</v>
      </c>
      <c r="DXY134" t="s">
        <v>61</v>
      </c>
      <c r="DXZ134" t="s">
        <v>61</v>
      </c>
      <c r="DYA134" t="s">
        <v>61</v>
      </c>
      <c r="DYB134" t="s">
        <v>61</v>
      </c>
      <c r="DYC134" t="s">
        <v>61</v>
      </c>
      <c r="DYD134" t="s">
        <v>61</v>
      </c>
      <c r="DYE134" t="s">
        <v>61</v>
      </c>
      <c r="DYF134" t="s">
        <v>61</v>
      </c>
      <c r="DYG134" t="s">
        <v>61</v>
      </c>
      <c r="DYH134" t="s">
        <v>61</v>
      </c>
      <c r="DYI134" t="s">
        <v>61</v>
      </c>
      <c r="DYJ134" t="s">
        <v>61</v>
      </c>
      <c r="DYK134" t="s">
        <v>61</v>
      </c>
      <c r="DYL134" t="s">
        <v>61</v>
      </c>
      <c r="DYM134" t="s">
        <v>61</v>
      </c>
      <c r="DYN134" t="s">
        <v>61</v>
      </c>
      <c r="DYO134" t="s">
        <v>61</v>
      </c>
      <c r="DYP134" t="s">
        <v>61</v>
      </c>
      <c r="DYQ134" t="s">
        <v>61</v>
      </c>
      <c r="DYR134" t="s">
        <v>61</v>
      </c>
      <c r="DYS134" t="s">
        <v>61</v>
      </c>
      <c r="DYT134" t="s">
        <v>61</v>
      </c>
      <c r="DYU134" t="s">
        <v>61</v>
      </c>
      <c r="DYV134" t="s">
        <v>61</v>
      </c>
      <c r="DYW134" t="s">
        <v>61</v>
      </c>
      <c r="DYX134" t="s">
        <v>61</v>
      </c>
      <c r="DYY134" t="s">
        <v>61</v>
      </c>
      <c r="DYZ134" t="s">
        <v>61</v>
      </c>
      <c r="DZA134" t="s">
        <v>61</v>
      </c>
      <c r="DZB134" t="s">
        <v>61</v>
      </c>
      <c r="DZC134" t="s">
        <v>61</v>
      </c>
      <c r="DZD134" t="s">
        <v>61</v>
      </c>
      <c r="DZE134" t="s">
        <v>61</v>
      </c>
      <c r="DZF134" t="s">
        <v>61</v>
      </c>
      <c r="DZG134" t="s">
        <v>61</v>
      </c>
      <c r="DZH134" t="s">
        <v>61</v>
      </c>
      <c r="DZI134" t="s">
        <v>61</v>
      </c>
      <c r="DZJ134" t="s">
        <v>61</v>
      </c>
      <c r="DZK134" t="s">
        <v>61</v>
      </c>
      <c r="DZL134" t="s">
        <v>61</v>
      </c>
      <c r="DZM134" t="s">
        <v>61</v>
      </c>
      <c r="DZN134" t="s">
        <v>61</v>
      </c>
      <c r="DZO134" t="s">
        <v>61</v>
      </c>
      <c r="DZP134" t="s">
        <v>61</v>
      </c>
      <c r="DZQ134" t="s">
        <v>61</v>
      </c>
      <c r="DZR134" t="s">
        <v>61</v>
      </c>
      <c r="DZS134" t="s">
        <v>61</v>
      </c>
      <c r="DZT134" t="s">
        <v>61</v>
      </c>
      <c r="DZU134" t="s">
        <v>61</v>
      </c>
      <c r="DZV134" t="s">
        <v>61</v>
      </c>
      <c r="DZW134" t="s">
        <v>61</v>
      </c>
      <c r="DZX134" t="s">
        <v>61</v>
      </c>
      <c r="DZY134" t="s">
        <v>61</v>
      </c>
      <c r="DZZ134" t="s">
        <v>61</v>
      </c>
      <c r="EAA134" t="s">
        <v>61</v>
      </c>
      <c r="EAB134" t="s">
        <v>61</v>
      </c>
      <c r="EAC134" t="s">
        <v>61</v>
      </c>
      <c r="EAD134" t="s">
        <v>61</v>
      </c>
      <c r="EAE134" t="s">
        <v>61</v>
      </c>
      <c r="EAF134" t="s">
        <v>61</v>
      </c>
      <c r="EAG134" t="s">
        <v>61</v>
      </c>
      <c r="EAH134" t="s">
        <v>61</v>
      </c>
      <c r="EAI134" t="s">
        <v>61</v>
      </c>
      <c r="EAJ134" t="s">
        <v>61</v>
      </c>
      <c r="EAK134" t="s">
        <v>61</v>
      </c>
      <c r="EAL134" t="s">
        <v>61</v>
      </c>
      <c r="EAM134" t="s">
        <v>61</v>
      </c>
      <c r="EAN134" t="s">
        <v>61</v>
      </c>
      <c r="EAO134" t="s">
        <v>61</v>
      </c>
      <c r="EAP134" t="s">
        <v>61</v>
      </c>
      <c r="EAQ134" t="s">
        <v>61</v>
      </c>
      <c r="EAR134" t="s">
        <v>61</v>
      </c>
      <c r="EAS134" t="s">
        <v>61</v>
      </c>
      <c r="EAT134" t="s">
        <v>61</v>
      </c>
      <c r="EAU134" t="s">
        <v>61</v>
      </c>
      <c r="EAV134" t="s">
        <v>61</v>
      </c>
      <c r="EAW134" t="s">
        <v>61</v>
      </c>
      <c r="EAX134" t="s">
        <v>61</v>
      </c>
      <c r="EAY134" t="s">
        <v>61</v>
      </c>
      <c r="EAZ134" t="s">
        <v>61</v>
      </c>
      <c r="EBA134" t="s">
        <v>61</v>
      </c>
      <c r="EBB134" t="s">
        <v>61</v>
      </c>
      <c r="EBC134" t="s">
        <v>61</v>
      </c>
      <c r="EBD134" t="s">
        <v>61</v>
      </c>
      <c r="EBE134" t="s">
        <v>61</v>
      </c>
      <c r="EBF134" t="s">
        <v>61</v>
      </c>
      <c r="EBG134" t="s">
        <v>61</v>
      </c>
      <c r="EBH134" t="s">
        <v>61</v>
      </c>
      <c r="EBI134" t="s">
        <v>61</v>
      </c>
      <c r="EBJ134" t="s">
        <v>61</v>
      </c>
      <c r="EBK134" t="s">
        <v>61</v>
      </c>
      <c r="EBL134" t="s">
        <v>61</v>
      </c>
      <c r="EBM134" t="s">
        <v>61</v>
      </c>
      <c r="EBN134" t="s">
        <v>61</v>
      </c>
      <c r="EBO134" t="s">
        <v>61</v>
      </c>
      <c r="EBP134" t="s">
        <v>61</v>
      </c>
      <c r="EBQ134" t="s">
        <v>61</v>
      </c>
      <c r="EBR134" t="s">
        <v>61</v>
      </c>
      <c r="EBS134" t="s">
        <v>61</v>
      </c>
      <c r="EBT134" t="s">
        <v>61</v>
      </c>
      <c r="EBU134" t="s">
        <v>61</v>
      </c>
      <c r="EBV134" t="s">
        <v>61</v>
      </c>
      <c r="EBW134" t="s">
        <v>61</v>
      </c>
      <c r="EBX134" t="s">
        <v>61</v>
      </c>
      <c r="EBY134" t="s">
        <v>61</v>
      </c>
      <c r="EBZ134" t="s">
        <v>61</v>
      </c>
      <c r="ECA134" t="s">
        <v>61</v>
      </c>
      <c r="ECB134" t="s">
        <v>61</v>
      </c>
      <c r="ECC134" t="s">
        <v>61</v>
      </c>
      <c r="ECD134" t="s">
        <v>61</v>
      </c>
      <c r="ECE134" t="s">
        <v>61</v>
      </c>
      <c r="ECF134" t="s">
        <v>61</v>
      </c>
      <c r="ECG134" t="s">
        <v>61</v>
      </c>
      <c r="ECH134" t="s">
        <v>61</v>
      </c>
      <c r="ECI134" t="s">
        <v>61</v>
      </c>
      <c r="ECJ134" t="s">
        <v>61</v>
      </c>
      <c r="ECK134" t="s">
        <v>61</v>
      </c>
      <c r="ECL134" t="s">
        <v>61</v>
      </c>
      <c r="ECM134" t="s">
        <v>61</v>
      </c>
      <c r="ECN134" t="s">
        <v>61</v>
      </c>
      <c r="ECO134" t="s">
        <v>61</v>
      </c>
      <c r="ECP134" t="s">
        <v>61</v>
      </c>
      <c r="ECQ134" t="s">
        <v>61</v>
      </c>
      <c r="ECR134" t="s">
        <v>61</v>
      </c>
      <c r="ECS134" t="s">
        <v>61</v>
      </c>
      <c r="ECT134" t="s">
        <v>61</v>
      </c>
      <c r="ECU134" t="s">
        <v>61</v>
      </c>
      <c r="ECV134" t="s">
        <v>61</v>
      </c>
      <c r="ECW134" t="s">
        <v>61</v>
      </c>
      <c r="ECX134" t="s">
        <v>61</v>
      </c>
      <c r="ECY134" t="s">
        <v>61</v>
      </c>
      <c r="ECZ134" t="s">
        <v>61</v>
      </c>
      <c r="EDA134" t="s">
        <v>61</v>
      </c>
      <c r="EDB134" t="s">
        <v>61</v>
      </c>
      <c r="EDC134" t="s">
        <v>61</v>
      </c>
      <c r="EDD134" t="s">
        <v>61</v>
      </c>
      <c r="EDE134" t="s">
        <v>61</v>
      </c>
      <c r="EDF134" t="s">
        <v>61</v>
      </c>
      <c r="EDG134" t="s">
        <v>61</v>
      </c>
      <c r="EDH134" t="s">
        <v>61</v>
      </c>
      <c r="EDI134" t="s">
        <v>61</v>
      </c>
      <c r="EDJ134" t="s">
        <v>61</v>
      </c>
      <c r="EDK134" t="s">
        <v>61</v>
      </c>
      <c r="EDL134" t="s">
        <v>61</v>
      </c>
      <c r="EDM134" t="s">
        <v>61</v>
      </c>
      <c r="EDN134" t="s">
        <v>61</v>
      </c>
      <c r="EDO134" t="s">
        <v>61</v>
      </c>
      <c r="EDP134" t="s">
        <v>61</v>
      </c>
      <c r="EDQ134" t="s">
        <v>61</v>
      </c>
      <c r="EDR134" t="s">
        <v>61</v>
      </c>
      <c r="EDS134" t="s">
        <v>61</v>
      </c>
      <c r="EDT134" t="s">
        <v>61</v>
      </c>
      <c r="EDU134" t="s">
        <v>61</v>
      </c>
      <c r="EDV134" t="s">
        <v>61</v>
      </c>
      <c r="EDW134" t="s">
        <v>61</v>
      </c>
      <c r="EDX134" t="s">
        <v>61</v>
      </c>
      <c r="EDY134" t="s">
        <v>61</v>
      </c>
      <c r="EDZ134" t="s">
        <v>61</v>
      </c>
      <c r="EEA134" t="s">
        <v>61</v>
      </c>
      <c r="EEB134" t="s">
        <v>61</v>
      </c>
      <c r="EEC134" t="s">
        <v>61</v>
      </c>
      <c r="EED134" t="s">
        <v>61</v>
      </c>
      <c r="EEE134" t="s">
        <v>61</v>
      </c>
      <c r="EEF134" t="s">
        <v>61</v>
      </c>
      <c r="EEG134" t="s">
        <v>61</v>
      </c>
      <c r="EEH134" t="s">
        <v>61</v>
      </c>
      <c r="EEI134" t="s">
        <v>61</v>
      </c>
      <c r="EEJ134" t="s">
        <v>61</v>
      </c>
      <c r="EEK134" t="s">
        <v>61</v>
      </c>
      <c r="EEL134" t="s">
        <v>61</v>
      </c>
      <c r="EEM134" t="s">
        <v>61</v>
      </c>
      <c r="EEN134" t="s">
        <v>61</v>
      </c>
      <c r="EEO134" t="s">
        <v>61</v>
      </c>
      <c r="EEP134" t="s">
        <v>61</v>
      </c>
      <c r="EEQ134" t="s">
        <v>61</v>
      </c>
      <c r="EER134" t="s">
        <v>61</v>
      </c>
      <c r="EES134" t="s">
        <v>61</v>
      </c>
      <c r="EET134" t="s">
        <v>61</v>
      </c>
      <c r="EEU134" t="s">
        <v>61</v>
      </c>
      <c r="EEV134" t="s">
        <v>61</v>
      </c>
      <c r="EEW134" t="s">
        <v>61</v>
      </c>
      <c r="EEX134" t="s">
        <v>61</v>
      </c>
      <c r="EEY134" t="s">
        <v>61</v>
      </c>
      <c r="EEZ134" t="s">
        <v>61</v>
      </c>
      <c r="EFA134" t="s">
        <v>61</v>
      </c>
      <c r="EFB134" t="s">
        <v>61</v>
      </c>
      <c r="EFC134" t="s">
        <v>61</v>
      </c>
      <c r="EFD134" t="s">
        <v>61</v>
      </c>
      <c r="EFE134" t="s">
        <v>61</v>
      </c>
      <c r="EFF134" t="s">
        <v>61</v>
      </c>
      <c r="EFG134" t="s">
        <v>61</v>
      </c>
      <c r="EFH134" t="s">
        <v>61</v>
      </c>
      <c r="EFI134" t="s">
        <v>61</v>
      </c>
      <c r="EFJ134" t="s">
        <v>61</v>
      </c>
      <c r="EFK134" t="s">
        <v>61</v>
      </c>
      <c r="EFL134" t="s">
        <v>61</v>
      </c>
      <c r="EFM134" t="s">
        <v>61</v>
      </c>
      <c r="EFN134" t="s">
        <v>61</v>
      </c>
      <c r="EFO134" t="s">
        <v>61</v>
      </c>
      <c r="EFP134" t="s">
        <v>61</v>
      </c>
      <c r="EFQ134" t="s">
        <v>61</v>
      </c>
      <c r="EFR134" t="s">
        <v>61</v>
      </c>
      <c r="EFS134" t="s">
        <v>61</v>
      </c>
      <c r="EFT134" t="s">
        <v>61</v>
      </c>
      <c r="EFU134" t="s">
        <v>61</v>
      </c>
      <c r="EFV134" t="s">
        <v>61</v>
      </c>
      <c r="EFW134" t="s">
        <v>61</v>
      </c>
      <c r="EFX134" t="s">
        <v>61</v>
      </c>
      <c r="EFY134" t="s">
        <v>61</v>
      </c>
      <c r="EFZ134" t="s">
        <v>61</v>
      </c>
      <c r="EGA134" t="s">
        <v>61</v>
      </c>
      <c r="EGB134" t="s">
        <v>61</v>
      </c>
      <c r="EGC134" t="s">
        <v>61</v>
      </c>
      <c r="EGD134" t="s">
        <v>61</v>
      </c>
      <c r="EGE134" t="s">
        <v>61</v>
      </c>
      <c r="EGF134" t="s">
        <v>61</v>
      </c>
      <c r="EGG134" t="s">
        <v>61</v>
      </c>
      <c r="EGH134" t="s">
        <v>61</v>
      </c>
      <c r="EGI134" t="s">
        <v>61</v>
      </c>
      <c r="EGJ134" t="s">
        <v>61</v>
      </c>
      <c r="EGK134" t="s">
        <v>61</v>
      </c>
      <c r="EGL134" t="s">
        <v>61</v>
      </c>
      <c r="EGM134" t="s">
        <v>61</v>
      </c>
      <c r="EGN134" t="s">
        <v>61</v>
      </c>
      <c r="EGO134" t="s">
        <v>61</v>
      </c>
      <c r="EGP134" t="s">
        <v>61</v>
      </c>
      <c r="EGQ134" t="s">
        <v>61</v>
      </c>
      <c r="EGR134" t="s">
        <v>61</v>
      </c>
      <c r="EGS134" t="s">
        <v>61</v>
      </c>
      <c r="EGT134" t="s">
        <v>61</v>
      </c>
      <c r="EGU134" t="s">
        <v>61</v>
      </c>
      <c r="EGV134" t="s">
        <v>61</v>
      </c>
      <c r="EGW134" t="s">
        <v>61</v>
      </c>
      <c r="EGX134" t="s">
        <v>61</v>
      </c>
      <c r="EGY134" t="s">
        <v>61</v>
      </c>
      <c r="EGZ134" t="s">
        <v>61</v>
      </c>
      <c r="EHA134" t="s">
        <v>61</v>
      </c>
      <c r="EHB134" t="s">
        <v>61</v>
      </c>
      <c r="EHC134" t="s">
        <v>61</v>
      </c>
      <c r="EHD134" t="s">
        <v>61</v>
      </c>
      <c r="EHE134" t="s">
        <v>61</v>
      </c>
      <c r="EHF134" t="s">
        <v>61</v>
      </c>
      <c r="EHG134" t="s">
        <v>61</v>
      </c>
      <c r="EHH134" t="s">
        <v>61</v>
      </c>
      <c r="EHI134" t="s">
        <v>61</v>
      </c>
      <c r="EHJ134" t="s">
        <v>61</v>
      </c>
      <c r="EHK134" t="s">
        <v>61</v>
      </c>
      <c r="EHL134" t="s">
        <v>61</v>
      </c>
      <c r="EHM134" t="s">
        <v>61</v>
      </c>
      <c r="EHN134" t="s">
        <v>61</v>
      </c>
      <c r="EHO134" t="s">
        <v>61</v>
      </c>
      <c r="EHP134" t="s">
        <v>61</v>
      </c>
      <c r="EHQ134" t="s">
        <v>61</v>
      </c>
      <c r="EHR134" t="s">
        <v>61</v>
      </c>
      <c r="EHS134" t="s">
        <v>61</v>
      </c>
      <c r="EHT134" t="s">
        <v>61</v>
      </c>
      <c r="EHU134" t="s">
        <v>61</v>
      </c>
      <c r="EHV134" t="s">
        <v>61</v>
      </c>
      <c r="EHW134" t="s">
        <v>61</v>
      </c>
      <c r="EHX134" t="s">
        <v>61</v>
      </c>
      <c r="EHY134" t="s">
        <v>61</v>
      </c>
      <c r="EHZ134" t="s">
        <v>61</v>
      </c>
      <c r="EIA134" t="s">
        <v>61</v>
      </c>
      <c r="EIB134" t="s">
        <v>61</v>
      </c>
      <c r="EIC134" t="s">
        <v>61</v>
      </c>
      <c r="EID134" t="s">
        <v>61</v>
      </c>
      <c r="EIE134" t="s">
        <v>61</v>
      </c>
      <c r="EIF134" t="s">
        <v>61</v>
      </c>
      <c r="EIG134" t="s">
        <v>61</v>
      </c>
      <c r="EIH134" t="s">
        <v>61</v>
      </c>
      <c r="EII134" t="s">
        <v>61</v>
      </c>
      <c r="EIJ134" t="s">
        <v>61</v>
      </c>
      <c r="EIK134" t="s">
        <v>61</v>
      </c>
      <c r="EIL134" t="s">
        <v>61</v>
      </c>
      <c r="EIM134" t="s">
        <v>61</v>
      </c>
      <c r="EIN134" t="s">
        <v>61</v>
      </c>
      <c r="EIO134" t="s">
        <v>61</v>
      </c>
      <c r="EIP134" t="s">
        <v>61</v>
      </c>
      <c r="EIQ134" t="s">
        <v>61</v>
      </c>
      <c r="EIR134" t="s">
        <v>61</v>
      </c>
      <c r="EIS134" t="s">
        <v>61</v>
      </c>
      <c r="EIT134" t="s">
        <v>61</v>
      </c>
      <c r="EIU134" t="s">
        <v>61</v>
      </c>
      <c r="EIV134" t="s">
        <v>61</v>
      </c>
      <c r="EIW134" t="s">
        <v>61</v>
      </c>
      <c r="EIX134" t="s">
        <v>61</v>
      </c>
      <c r="EIY134" t="s">
        <v>61</v>
      </c>
      <c r="EIZ134" t="s">
        <v>61</v>
      </c>
      <c r="EJA134" t="s">
        <v>61</v>
      </c>
      <c r="EJB134" t="s">
        <v>61</v>
      </c>
      <c r="EJC134" t="s">
        <v>61</v>
      </c>
      <c r="EJD134" t="s">
        <v>61</v>
      </c>
      <c r="EJE134" t="s">
        <v>61</v>
      </c>
      <c r="EJF134" t="s">
        <v>61</v>
      </c>
      <c r="EJG134" t="s">
        <v>61</v>
      </c>
      <c r="EJH134" t="s">
        <v>61</v>
      </c>
      <c r="EJI134" t="s">
        <v>61</v>
      </c>
      <c r="EJJ134" t="s">
        <v>61</v>
      </c>
      <c r="EJK134" t="s">
        <v>61</v>
      </c>
      <c r="EJL134" t="s">
        <v>61</v>
      </c>
      <c r="EJM134" t="s">
        <v>61</v>
      </c>
      <c r="EJN134" t="s">
        <v>61</v>
      </c>
      <c r="EJO134" t="s">
        <v>61</v>
      </c>
      <c r="EJP134" t="s">
        <v>61</v>
      </c>
      <c r="EJQ134" t="s">
        <v>61</v>
      </c>
      <c r="EJR134" t="s">
        <v>61</v>
      </c>
      <c r="EJS134" t="s">
        <v>61</v>
      </c>
      <c r="EJT134" t="s">
        <v>61</v>
      </c>
      <c r="EJU134" t="s">
        <v>61</v>
      </c>
      <c r="EJV134" t="s">
        <v>61</v>
      </c>
      <c r="EJW134" t="s">
        <v>61</v>
      </c>
      <c r="EJX134" t="s">
        <v>61</v>
      </c>
      <c r="EJY134" t="s">
        <v>61</v>
      </c>
      <c r="EJZ134" t="s">
        <v>61</v>
      </c>
      <c r="EKA134" t="s">
        <v>61</v>
      </c>
      <c r="EKB134" t="s">
        <v>61</v>
      </c>
      <c r="EKC134" t="s">
        <v>61</v>
      </c>
      <c r="EKD134" t="s">
        <v>61</v>
      </c>
      <c r="EKE134" t="s">
        <v>61</v>
      </c>
      <c r="EKF134" t="s">
        <v>61</v>
      </c>
      <c r="EKG134" t="s">
        <v>61</v>
      </c>
      <c r="EKH134" t="s">
        <v>61</v>
      </c>
      <c r="EKI134" t="s">
        <v>61</v>
      </c>
      <c r="EKJ134" t="s">
        <v>61</v>
      </c>
      <c r="EKK134" t="s">
        <v>61</v>
      </c>
      <c r="EKL134" t="s">
        <v>61</v>
      </c>
      <c r="EKM134" t="s">
        <v>61</v>
      </c>
      <c r="EKN134" t="s">
        <v>61</v>
      </c>
      <c r="EKO134" t="s">
        <v>61</v>
      </c>
      <c r="EKP134" t="s">
        <v>61</v>
      </c>
      <c r="EKQ134" t="s">
        <v>61</v>
      </c>
      <c r="EKR134" t="s">
        <v>61</v>
      </c>
      <c r="EKS134" t="s">
        <v>61</v>
      </c>
      <c r="EKT134" t="s">
        <v>61</v>
      </c>
      <c r="EKU134" t="s">
        <v>61</v>
      </c>
      <c r="EKV134" t="s">
        <v>61</v>
      </c>
      <c r="EKW134" t="s">
        <v>61</v>
      </c>
      <c r="EKX134" t="s">
        <v>61</v>
      </c>
      <c r="EKY134" t="s">
        <v>61</v>
      </c>
      <c r="EKZ134" t="s">
        <v>61</v>
      </c>
      <c r="ELA134" t="s">
        <v>61</v>
      </c>
      <c r="ELB134" t="s">
        <v>61</v>
      </c>
      <c r="ELC134" t="s">
        <v>61</v>
      </c>
      <c r="ELD134" t="s">
        <v>61</v>
      </c>
      <c r="ELE134" t="s">
        <v>61</v>
      </c>
      <c r="ELF134" t="s">
        <v>61</v>
      </c>
      <c r="ELG134" t="s">
        <v>61</v>
      </c>
      <c r="ELH134" t="s">
        <v>61</v>
      </c>
      <c r="ELI134" t="s">
        <v>61</v>
      </c>
      <c r="ELJ134" t="s">
        <v>61</v>
      </c>
      <c r="ELK134" t="s">
        <v>61</v>
      </c>
      <c r="ELL134" t="s">
        <v>61</v>
      </c>
      <c r="ELM134" t="s">
        <v>61</v>
      </c>
      <c r="ELN134" t="s">
        <v>61</v>
      </c>
      <c r="ELO134" t="s">
        <v>61</v>
      </c>
      <c r="ELP134" t="s">
        <v>61</v>
      </c>
      <c r="ELQ134" t="s">
        <v>61</v>
      </c>
      <c r="ELR134" t="s">
        <v>61</v>
      </c>
      <c r="ELS134" t="s">
        <v>61</v>
      </c>
      <c r="ELT134" t="s">
        <v>61</v>
      </c>
      <c r="ELU134" t="s">
        <v>61</v>
      </c>
      <c r="ELV134" t="s">
        <v>61</v>
      </c>
      <c r="ELW134" t="s">
        <v>61</v>
      </c>
      <c r="ELX134" t="s">
        <v>61</v>
      </c>
      <c r="ELY134" t="s">
        <v>61</v>
      </c>
      <c r="ELZ134" t="s">
        <v>61</v>
      </c>
      <c r="EMA134" t="s">
        <v>61</v>
      </c>
      <c r="EMB134" t="s">
        <v>61</v>
      </c>
      <c r="EMC134" t="s">
        <v>61</v>
      </c>
      <c r="EMD134" t="s">
        <v>61</v>
      </c>
      <c r="EME134" t="s">
        <v>61</v>
      </c>
      <c r="EMF134" t="s">
        <v>61</v>
      </c>
      <c r="EMG134" t="s">
        <v>61</v>
      </c>
      <c r="EMH134" t="s">
        <v>61</v>
      </c>
      <c r="EMI134" t="s">
        <v>61</v>
      </c>
      <c r="EMJ134" t="s">
        <v>61</v>
      </c>
      <c r="EMK134" t="s">
        <v>61</v>
      </c>
      <c r="EML134" t="s">
        <v>61</v>
      </c>
      <c r="EMM134" t="s">
        <v>61</v>
      </c>
      <c r="EMN134" t="s">
        <v>61</v>
      </c>
      <c r="EMO134" t="s">
        <v>61</v>
      </c>
      <c r="EMP134" t="s">
        <v>61</v>
      </c>
      <c r="EMQ134" t="s">
        <v>61</v>
      </c>
      <c r="EMR134" t="s">
        <v>61</v>
      </c>
      <c r="EMS134" t="s">
        <v>61</v>
      </c>
      <c r="EMT134" t="s">
        <v>61</v>
      </c>
      <c r="EMU134" t="s">
        <v>61</v>
      </c>
      <c r="EMV134" t="s">
        <v>61</v>
      </c>
      <c r="EMW134" t="s">
        <v>61</v>
      </c>
      <c r="EMX134" t="s">
        <v>61</v>
      </c>
      <c r="EMY134" t="s">
        <v>61</v>
      </c>
      <c r="EMZ134" t="s">
        <v>61</v>
      </c>
      <c r="ENA134" t="s">
        <v>61</v>
      </c>
      <c r="ENB134" t="s">
        <v>61</v>
      </c>
      <c r="ENC134" t="s">
        <v>61</v>
      </c>
      <c r="END134" t="s">
        <v>61</v>
      </c>
      <c r="ENE134" t="s">
        <v>61</v>
      </c>
      <c r="ENF134" t="s">
        <v>61</v>
      </c>
      <c r="ENG134" t="s">
        <v>61</v>
      </c>
      <c r="ENH134" t="s">
        <v>61</v>
      </c>
      <c r="ENI134" t="s">
        <v>61</v>
      </c>
      <c r="ENJ134" t="s">
        <v>61</v>
      </c>
      <c r="ENK134" t="s">
        <v>61</v>
      </c>
      <c r="ENL134" t="s">
        <v>61</v>
      </c>
      <c r="ENM134" t="s">
        <v>61</v>
      </c>
      <c r="ENN134" t="s">
        <v>61</v>
      </c>
      <c r="ENO134" t="s">
        <v>61</v>
      </c>
      <c r="ENP134" t="s">
        <v>61</v>
      </c>
      <c r="ENQ134" t="s">
        <v>61</v>
      </c>
      <c r="ENR134" t="s">
        <v>61</v>
      </c>
      <c r="ENS134" t="s">
        <v>61</v>
      </c>
      <c r="ENT134" t="s">
        <v>61</v>
      </c>
      <c r="ENU134" t="s">
        <v>61</v>
      </c>
      <c r="ENV134" t="s">
        <v>61</v>
      </c>
      <c r="ENW134" t="s">
        <v>61</v>
      </c>
      <c r="ENX134" t="s">
        <v>61</v>
      </c>
      <c r="ENY134" t="s">
        <v>61</v>
      </c>
      <c r="ENZ134" t="s">
        <v>61</v>
      </c>
      <c r="EOA134" t="s">
        <v>61</v>
      </c>
      <c r="EOB134" t="s">
        <v>61</v>
      </c>
      <c r="EOC134" t="s">
        <v>61</v>
      </c>
      <c r="EOD134" t="s">
        <v>61</v>
      </c>
      <c r="EOE134" t="s">
        <v>61</v>
      </c>
      <c r="EOF134" t="s">
        <v>61</v>
      </c>
      <c r="EOG134" t="s">
        <v>61</v>
      </c>
      <c r="EOH134" t="s">
        <v>61</v>
      </c>
      <c r="EOI134" t="s">
        <v>61</v>
      </c>
      <c r="EOJ134" t="s">
        <v>61</v>
      </c>
      <c r="EOK134" t="s">
        <v>61</v>
      </c>
      <c r="EOL134" t="s">
        <v>61</v>
      </c>
      <c r="EOM134" t="s">
        <v>61</v>
      </c>
      <c r="EON134" t="s">
        <v>61</v>
      </c>
      <c r="EOO134" t="s">
        <v>61</v>
      </c>
      <c r="EOP134" t="s">
        <v>61</v>
      </c>
      <c r="EOQ134" t="s">
        <v>61</v>
      </c>
      <c r="EOR134" t="s">
        <v>61</v>
      </c>
      <c r="EOS134" t="s">
        <v>61</v>
      </c>
      <c r="EOT134" t="s">
        <v>61</v>
      </c>
      <c r="EOU134" t="s">
        <v>61</v>
      </c>
      <c r="EOV134" t="s">
        <v>61</v>
      </c>
      <c r="EOW134" t="s">
        <v>61</v>
      </c>
      <c r="EOX134" t="s">
        <v>61</v>
      </c>
      <c r="EOY134" t="s">
        <v>61</v>
      </c>
      <c r="EOZ134" t="s">
        <v>61</v>
      </c>
      <c r="EPA134" t="s">
        <v>61</v>
      </c>
      <c r="EPB134" t="s">
        <v>61</v>
      </c>
      <c r="EPC134" t="s">
        <v>61</v>
      </c>
      <c r="EPD134" t="s">
        <v>61</v>
      </c>
      <c r="EPE134" t="s">
        <v>61</v>
      </c>
      <c r="EPF134" t="s">
        <v>61</v>
      </c>
      <c r="EPG134" t="s">
        <v>61</v>
      </c>
      <c r="EPH134" t="s">
        <v>61</v>
      </c>
      <c r="EPI134" t="s">
        <v>61</v>
      </c>
      <c r="EPJ134" t="s">
        <v>61</v>
      </c>
      <c r="EPK134" t="s">
        <v>61</v>
      </c>
      <c r="EPL134" t="s">
        <v>61</v>
      </c>
      <c r="EPM134" t="s">
        <v>61</v>
      </c>
      <c r="EPN134" t="s">
        <v>61</v>
      </c>
      <c r="EPO134" t="s">
        <v>61</v>
      </c>
      <c r="EPP134" t="s">
        <v>61</v>
      </c>
      <c r="EPQ134" t="s">
        <v>61</v>
      </c>
      <c r="EPR134" t="s">
        <v>61</v>
      </c>
      <c r="EPS134" t="s">
        <v>61</v>
      </c>
      <c r="EPT134" t="s">
        <v>61</v>
      </c>
      <c r="EPU134" t="s">
        <v>61</v>
      </c>
      <c r="EPV134" t="s">
        <v>61</v>
      </c>
      <c r="EPW134" t="s">
        <v>61</v>
      </c>
      <c r="EPX134" t="s">
        <v>61</v>
      </c>
      <c r="EPY134" t="s">
        <v>61</v>
      </c>
      <c r="EPZ134" t="s">
        <v>61</v>
      </c>
      <c r="EQA134" t="s">
        <v>61</v>
      </c>
      <c r="EQB134" t="s">
        <v>61</v>
      </c>
      <c r="EQC134" t="s">
        <v>61</v>
      </c>
      <c r="EQD134" t="s">
        <v>61</v>
      </c>
      <c r="EQE134" t="s">
        <v>61</v>
      </c>
      <c r="EQF134" t="s">
        <v>61</v>
      </c>
      <c r="EQG134" t="s">
        <v>61</v>
      </c>
      <c r="EQH134" t="s">
        <v>61</v>
      </c>
      <c r="EQI134" t="s">
        <v>61</v>
      </c>
      <c r="EQJ134" t="s">
        <v>61</v>
      </c>
      <c r="EQK134" t="s">
        <v>61</v>
      </c>
      <c r="EQL134" t="s">
        <v>61</v>
      </c>
      <c r="EQM134" t="s">
        <v>61</v>
      </c>
      <c r="EQN134" t="s">
        <v>61</v>
      </c>
      <c r="EQO134" t="s">
        <v>61</v>
      </c>
      <c r="EQP134" t="s">
        <v>61</v>
      </c>
      <c r="EQQ134" t="s">
        <v>61</v>
      </c>
      <c r="EQR134" t="s">
        <v>61</v>
      </c>
      <c r="EQS134" t="s">
        <v>61</v>
      </c>
      <c r="EQT134" t="s">
        <v>61</v>
      </c>
      <c r="EQU134" t="s">
        <v>61</v>
      </c>
      <c r="EQV134" t="s">
        <v>61</v>
      </c>
      <c r="EQW134" t="s">
        <v>61</v>
      </c>
      <c r="EQX134" t="s">
        <v>61</v>
      </c>
      <c r="EQY134" t="s">
        <v>61</v>
      </c>
      <c r="EQZ134" t="s">
        <v>61</v>
      </c>
      <c r="ERA134" t="s">
        <v>61</v>
      </c>
      <c r="ERB134" t="s">
        <v>61</v>
      </c>
      <c r="ERC134" t="s">
        <v>61</v>
      </c>
      <c r="ERD134" t="s">
        <v>61</v>
      </c>
      <c r="ERE134" t="s">
        <v>61</v>
      </c>
      <c r="ERF134" t="s">
        <v>61</v>
      </c>
      <c r="ERG134" t="s">
        <v>61</v>
      </c>
      <c r="ERH134" t="s">
        <v>61</v>
      </c>
      <c r="ERI134" t="s">
        <v>61</v>
      </c>
      <c r="ERJ134" t="s">
        <v>61</v>
      </c>
      <c r="ERK134" t="s">
        <v>61</v>
      </c>
      <c r="ERL134" t="s">
        <v>61</v>
      </c>
      <c r="ERM134" t="s">
        <v>61</v>
      </c>
      <c r="ERN134" t="s">
        <v>61</v>
      </c>
      <c r="ERO134" t="s">
        <v>61</v>
      </c>
      <c r="ERP134" t="s">
        <v>61</v>
      </c>
      <c r="ERQ134" t="s">
        <v>61</v>
      </c>
      <c r="ERR134" t="s">
        <v>61</v>
      </c>
      <c r="ERS134" t="s">
        <v>61</v>
      </c>
      <c r="ERT134" t="s">
        <v>61</v>
      </c>
      <c r="ERU134" t="s">
        <v>61</v>
      </c>
      <c r="ERV134" t="s">
        <v>61</v>
      </c>
      <c r="ERW134" t="s">
        <v>61</v>
      </c>
      <c r="ERX134" t="s">
        <v>61</v>
      </c>
      <c r="ERY134" t="s">
        <v>61</v>
      </c>
      <c r="ERZ134" t="s">
        <v>61</v>
      </c>
      <c r="ESA134" t="s">
        <v>61</v>
      </c>
      <c r="ESB134" t="s">
        <v>61</v>
      </c>
      <c r="ESC134" t="s">
        <v>61</v>
      </c>
      <c r="ESD134" t="s">
        <v>61</v>
      </c>
      <c r="ESE134" t="s">
        <v>61</v>
      </c>
      <c r="ESF134" t="s">
        <v>61</v>
      </c>
      <c r="ESG134" t="s">
        <v>61</v>
      </c>
      <c r="ESH134" t="s">
        <v>61</v>
      </c>
      <c r="ESI134" t="s">
        <v>61</v>
      </c>
      <c r="ESJ134" t="s">
        <v>61</v>
      </c>
      <c r="ESK134" t="s">
        <v>61</v>
      </c>
      <c r="ESL134" t="s">
        <v>61</v>
      </c>
      <c r="ESM134" t="s">
        <v>61</v>
      </c>
      <c r="ESN134" t="s">
        <v>61</v>
      </c>
      <c r="ESO134" t="s">
        <v>61</v>
      </c>
      <c r="ESP134" t="s">
        <v>61</v>
      </c>
      <c r="ESQ134" t="s">
        <v>61</v>
      </c>
      <c r="ESR134" t="s">
        <v>61</v>
      </c>
      <c r="ESS134" t="s">
        <v>61</v>
      </c>
      <c r="EST134" t="s">
        <v>61</v>
      </c>
      <c r="ESU134" t="s">
        <v>61</v>
      </c>
      <c r="ESV134" t="s">
        <v>61</v>
      </c>
      <c r="ESW134" t="s">
        <v>61</v>
      </c>
      <c r="ESX134" t="s">
        <v>61</v>
      </c>
      <c r="ESY134" t="s">
        <v>61</v>
      </c>
      <c r="ESZ134" t="s">
        <v>61</v>
      </c>
      <c r="ETA134" t="s">
        <v>61</v>
      </c>
      <c r="ETB134" t="s">
        <v>61</v>
      </c>
      <c r="ETC134" t="s">
        <v>61</v>
      </c>
      <c r="ETD134" t="s">
        <v>61</v>
      </c>
      <c r="ETE134" t="s">
        <v>61</v>
      </c>
      <c r="ETF134" t="s">
        <v>61</v>
      </c>
      <c r="ETG134" t="s">
        <v>61</v>
      </c>
      <c r="ETH134" t="s">
        <v>61</v>
      </c>
      <c r="ETI134" t="s">
        <v>61</v>
      </c>
      <c r="ETJ134" t="s">
        <v>61</v>
      </c>
      <c r="ETK134" t="s">
        <v>61</v>
      </c>
      <c r="ETL134" t="s">
        <v>61</v>
      </c>
      <c r="ETM134" t="s">
        <v>61</v>
      </c>
      <c r="ETN134" t="s">
        <v>61</v>
      </c>
      <c r="ETO134" t="s">
        <v>61</v>
      </c>
      <c r="ETP134" t="s">
        <v>61</v>
      </c>
      <c r="ETQ134" t="s">
        <v>61</v>
      </c>
      <c r="ETR134" t="s">
        <v>61</v>
      </c>
      <c r="ETS134" t="s">
        <v>61</v>
      </c>
      <c r="ETT134" t="s">
        <v>61</v>
      </c>
      <c r="ETU134" t="s">
        <v>61</v>
      </c>
      <c r="ETV134" t="s">
        <v>61</v>
      </c>
      <c r="ETW134" t="s">
        <v>61</v>
      </c>
      <c r="ETX134" t="s">
        <v>61</v>
      </c>
      <c r="ETY134" t="s">
        <v>61</v>
      </c>
      <c r="ETZ134" t="s">
        <v>61</v>
      </c>
      <c r="EUA134" t="s">
        <v>61</v>
      </c>
      <c r="EUB134" t="s">
        <v>61</v>
      </c>
      <c r="EUC134" t="s">
        <v>61</v>
      </c>
      <c r="EUD134" t="s">
        <v>61</v>
      </c>
      <c r="EUE134" t="s">
        <v>61</v>
      </c>
      <c r="EUF134" t="s">
        <v>61</v>
      </c>
      <c r="EUG134" t="s">
        <v>61</v>
      </c>
      <c r="EUH134" t="s">
        <v>61</v>
      </c>
      <c r="EUI134" t="s">
        <v>61</v>
      </c>
      <c r="EUJ134" t="s">
        <v>61</v>
      </c>
      <c r="EUK134" t="s">
        <v>61</v>
      </c>
      <c r="EUL134" t="s">
        <v>61</v>
      </c>
      <c r="EUM134" t="s">
        <v>61</v>
      </c>
      <c r="EUN134" t="s">
        <v>61</v>
      </c>
      <c r="EUO134" t="s">
        <v>61</v>
      </c>
      <c r="EUP134" t="s">
        <v>61</v>
      </c>
      <c r="EUQ134" t="s">
        <v>61</v>
      </c>
      <c r="EUR134" t="s">
        <v>61</v>
      </c>
      <c r="EUS134" t="s">
        <v>61</v>
      </c>
      <c r="EUT134" t="s">
        <v>61</v>
      </c>
      <c r="EUU134" t="s">
        <v>61</v>
      </c>
      <c r="EUV134" t="s">
        <v>61</v>
      </c>
      <c r="EUW134" t="s">
        <v>61</v>
      </c>
      <c r="EUX134" t="s">
        <v>61</v>
      </c>
      <c r="EUY134" t="s">
        <v>61</v>
      </c>
      <c r="EUZ134" t="s">
        <v>61</v>
      </c>
      <c r="EVA134" t="s">
        <v>61</v>
      </c>
      <c r="EVB134" t="s">
        <v>61</v>
      </c>
      <c r="EVC134" t="s">
        <v>61</v>
      </c>
      <c r="EVD134" t="s">
        <v>61</v>
      </c>
      <c r="EVE134" t="s">
        <v>61</v>
      </c>
      <c r="EVF134" t="s">
        <v>61</v>
      </c>
      <c r="EVG134" t="s">
        <v>61</v>
      </c>
      <c r="EVH134" t="s">
        <v>61</v>
      </c>
      <c r="EVI134" t="s">
        <v>61</v>
      </c>
      <c r="EVJ134" t="s">
        <v>61</v>
      </c>
      <c r="EVK134" t="s">
        <v>61</v>
      </c>
      <c r="EVL134" t="s">
        <v>61</v>
      </c>
      <c r="EVM134" t="s">
        <v>61</v>
      </c>
      <c r="EVN134" t="s">
        <v>61</v>
      </c>
      <c r="EVO134" t="s">
        <v>61</v>
      </c>
      <c r="EVP134" t="s">
        <v>61</v>
      </c>
      <c r="EVQ134" t="s">
        <v>61</v>
      </c>
      <c r="EVR134" t="s">
        <v>61</v>
      </c>
      <c r="EVS134" t="s">
        <v>61</v>
      </c>
      <c r="EVT134" t="s">
        <v>61</v>
      </c>
      <c r="EVU134" t="s">
        <v>61</v>
      </c>
      <c r="EVV134" t="s">
        <v>61</v>
      </c>
      <c r="EVW134" t="s">
        <v>61</v>
      </c>
      <c r="EVX134" t="s">
        <v>61</v>
      </c>
      <c r="EVY134" t="s">
        <v>61</v>
      </c>
      <c r="EVZ134" t="s">
        <v>61</v>
      </c>
      <c r="EWA134" t="s">
        <v>61</v>
      </c>
      <c r="EWB134" t="s">
        <v>61</v>
      </c>
      <c r="EWC134" t="s">
        <v>61</v>
      </c>
      <c r="EWD134" t="s">
        <v>61</v>
      </c>
      <c r="EWE134" t="s">
        <v>61</v>
      </c>
      <c r="EWF134" t="s">
        <v>61</v>
      </c>
      <c r="EWG134" t="s">
        <v>61</v>
      </c>
      <c r="EWH134" t="s">
        <v>61</v>
      </c>
      <c r="EWI134" t="s">
        <v>61</v>
      </c>
      <c r="EWJ134" t="s">
        <v>61</v>
      </c>
      <c r="EWK134" t="s">
        <v>61</v>
      </c>
      <c r="EWL134" t="s">
        <v>61</v>
      </c>
      <c r="EWM134" t="s">
        <v>61</v>
      </c>
      <c r="EWN134" t="s">
        <v>61</v>
      </c>
      <c r="EWO134" t="s">
        <v>61</v>
      </c>
      <c r="EWP134" t="s">
        <v>61</v>
      </c>
      <c r="EWQ134" t="s">
        <v>61</v>
      </c>
      <c r="EWR134" t="s">
        <v>61</v>
      </c>
      <c r="EWS134" t="s">
        <v>61</v>
      </c>
      <c r="EWT134" t="s">
        <v>61</v>
      </c>
      <c r="EWU134" t="s">
        <v>61</v>
      </c>
      <c r="EWV134" t="s">
        <v>61</v>
      </c>
      <c r="EWW134" t="s">
        <v>61</v>
      </c>
      <c r="EWX134" t="s">
        <v>61</v>
      </c>
      <c r="EWY134" t="s">
        <v>61</v>
      </c>
      <c r="EWZ134" t="s">
        <v>61</v>
      </c>
      <c r="EXA134" t="s">
        <v>61</v>
      </c>
      <c r="EXB134" t="s">
        <v>61</v>
      </c>
      <c r="EXC134" t="s">
        <v>61</v>
      </c>
      <c r="EXD134" t="s">
        <v>61</v>
      </c>
      <c r="EXE134" t="s">
        <v>61</v>
      </c>
      <c r="EXF134" t="s">
        <v>61</v>
      </c>
      <c r="EXG134" t="s">
        <v>61</v>
      </c>
      <c r="EXH134" t="s">
        <v>61</v>
      </c>
      <c r="EXI134" t="s">
        <v>61</v>
      </c>
      <c r="EXJ134" t="s">
        <v>61</v>
      </c>
      <c r="EXK134" t="s">
        <v>61</v>
      </c>
      <c r="EXL134" t="s">
        <v>61</v>
      </c>
      <c r="EXM134" t="s">
        <v>61</v>
      </c>
      <c r="EXN134" t="s">
        <v>61</v>
      </c>
      <c r="EXO134" t="s">
        <v>61</v>
      </c>
      <c r="EXP134" t="s">
        <v>61</v>
      </c>
      <c r="EXQ134" t="s">
        <v>61</v>
      </c>
      <c r="EXR134" t="s">
        <v>61</v>
      </c>
      <c r="EXS134" t="s">
        <v>61</v>
      </c>
      <c r="EXT134" t="s">
        <v>61</v>
      </c>
      <c r="EXU134" t="s">
        <v>61</v>
      </c>
      <c r="EXV134" t="s">
        <v>61</v>
      </c>
      <c r="EXW134" t="s">
        <v>61</v>
      </c>
      <c r="EXX134" t="s">
        <v>61</v>
      </c>
      <c r="EXY134" t="s">
        <v>61</v>
      </c>
      <c r="EXZ134" t="s">
        <v>61</v>
      </c>
      <c r="EYA134" t="s">
        <v>61</v>
      </c>
      <c r="EYB134" t="s">
        <v>61</v>
      </c>
      <c r="EYC134" t="s">
        <v>61</v>
      </c>
      <c r="EYD134" t="s">
        <v>61</v>
      </c>
      <c r="EYE134" t="s">
        <v>61</v>
      </c>
      <c r="EYF134" t="s">
        <v>61</v>
      </c>
      <c r="EYG134" t="s">
        <v>61</v>
      </c>
      <c r="EYH134" t="s">
        <v>61</v>
      </c>
      <c r="EYI134" t="s">
        <v>61</v>
      </c>
      <c r="EYJ134" t="s">
        <v>61</v>
      </c>
      <c r="EYK134" t="s">
        <v>61</v>
      </c>
      <c r="EYL134" t="s">
        <v>61</v>
      </c>
      <c r="EYM134" t="s">
        <v>61</v>
      </c>
      <c r="EYN134" t="s">
        <v>61</v>
      </c>
      <c r="EYO134" t="s">
        <v>61</v>
      </c>
      <c r="EYP134" t="s">
        <v>61</v>
      </c>
      <c r="EYQ134" t="s">
        <v>61</v>
      </c>
      <c r="EYR134" t="s">
        <v>61</v>
      </c>
      <c r="EYS134" t="s">
        <v>61</v>
      </c>
      <c r="EYT134" t="s">
        <v>61</v>
      </c>
      <c r="EYU134" t="s">
        <v>61</v>
      </c>
      <c r="EYV134" t="s">
        <v>61</v>
      </c>
      <c r="EYW134" t="s">
        <v>61</v>
      </c>
      <c r="EYX134" t="s">
        <v>61</v>
      </c>
      <c r="EYY134" t="s">
        <v>61</v>
      </c>
      <c r="EYZ134" t="s">
        <v>61</v>
      </c>
      <c r="EZA134" t="s">
        <v>61</v>
      </c>
      <c r="EZB134" t="s">
        <v>61</v>
      </c>
      <c r="EZC134" t="s">
        <v>61</v>
      </c>
      <c r="EZD134" t="s">
        <v>61</v>
      </c>
      <c r="EZE134" t="s">
        <v>61</v>
      </c>
      <c r="EZF134" t="s">
        <v>61</v>
      </c>
      <c r="EZG134" t="s">
        <v>61</v>
      </c>
      <c r="EZH134" t="s">
        <v>61</v>
      </c>
      <c r="EZI134" t="s">
        <v>61</v>
      </c>
      <c r="EZJ134" t="s">
        <v>61</v>
      </c>
      <c r="EZK134" t="s">
        <v>61</v>
      </c>
      <c r="EZL134" t="s">
        <v>61</v>
      </c>
      <c r="EZM134" t="s">
        <v>61</v>
      </c>
      <c r="EZN134" t="s">
        <v>61</v>
      </c>
      <c r="EZO134" t="s">
        <v>61</v>
      </c>
      <c r="EZP134" t="s">
        <v>61</v>
      </c>
      <c r="EZQ134" t="s">
        <v>61</v>
      </c>
      <c r="EZR134" t="s">
        <v>61</v>
      </c>
      <c r="EZS134" t="s">
        <v>61</v>
      </c>
      <c r="EZT134" t="s">
        <v>61</v>
      </c>
      <c r="EZU134" t="s">
        <v>61</v>
      </c>
      <c r="EZV134" t="s">
        <v>61</v>
      </c>
      <c r="EZW134" t="s">
        <v>61</v>
      </c>
      <c r="EZX134" t="s">
        <v>61</v>
      </c>
      <c r="EZY134" t="s">
        <v>61</v>
      </c>
      <c r="EZZ134" t="s">
        <v>61</v>
      </c>
      <c r="FAA134" t="s">
        <v>61</v>
      </c>
      <c r="FAB134" t="s">
        <v>61</v>
      </c>
      <c r="FAC134" t="s">
        <v>61</v>
      </c>
      <c r="FAD134" t="s">
        <v>61</v>
      </c>
      <c r="FAE134" t="s">
        <v>61</v>
      </c>
      <c r="FAF134" t="s">
        <v>61</v>
      </c>
      <c r="FAG134" t="s">
        <v>61</v>
      </c>
      <c r="FAH134" t="s">
        <v>61</v>
      </c>
      <c r="FAI134" t="s">
        <v>61</v>
      </c>
      <c r="FAJ134" t="s">
        <v>61</v>
      </c>
      <c r="FAK134" t="s">
        <v>61</v>
      </c>
      <c r="FAL134" t="s">
        <v>61</v>
      </c>
      <c r="FAM134" t="s">
        <v>61</v>
      </c>
      <c r="FAN134" t="s">
        <v>61</v>
      </c>
      <c r="FAO134" t="s">
        <v>61</v>
      </c>
      <c r="FAP134" t="s">
        <v>61</v>
      </c>
      <c r="FAQ134" t="s">
        <v>61</v>
      </c>
      <c r="FAR134" t="s">
        <v>61</v>
      </c>
      <c r="FAS134" t="s">
        <v>61</v>
      </c>
      <c r="FAT134" t="s">
        <v>61</v>
      </c>
      <c r="FAU134" t="s">
        <v>61</v>
      </c>
      <c r="FAV134" t="s">
        <v>61</v>
      </c>
      <c r="FAW134" t="s">
        <v>61</v>
      </c>
      <c r="FAX134" t="s">
        <v>61</v>
      </c>
      <c r="FAY134" t="s">
        <v>61</v>
      </c>
      <c r="FAZ134" t="s">
        <v>61</v>
      </c>
      <c r="FBA134" t="s">
        <v>61</v>
      </c>
      <c r="FBB134" t="s">
        <v>61</v>
      </c>
      <c r="FBC134" t="s">
        <v>61</v>
      </c>
      <c r="FBD134" t="s">
        <v>61</v>
      </c>
      <c r="FBE134" t="s">
        <v>61</v>
      </c>
      <c r="FBF134" t="s">
        <v>61</v>
      </c>
      <c r="FBG134" t="s">
        <v>61</v>
      </c>
      <c r="FBH134" t="s">
        <v>61</v>
      </c>
      <c r="FBI134" t="s">
        <v>61</v>
      </c>
      <c r="FBJ134" t="s">
        <v>61</v>
      </c>
      <c r="FBK134" t="s">
        <v>61</v>
      </c>
      <c r="FBL134" t="s">
        <v>61</v>
      </c>
      <c r="FBM134" t="s">
        <v>61</v>
      </c>
      <c r="FBN134" t="s">
        <v>61</v>
      </c>
      <c r="FBO134" t="s">
        <v>61</v>
      </c>
      <c r="FBP134" t="s">
        <v>61</v>
      </c>
      <c r="FBQ134" t="s">
        <v>61</v>
      </c>
      <c r="FBR134" t="s">
        <v>61</v>
      </c>
      <c r="FBS134" t="s">
        <v>61</v>
      </c>
      <c r="FBT134" t="s">
        <v>61</v>
      </c>
      <c r="FBU134" t="s">
        <v>61</v>
      </c>
      <c r="FBV134" t="s">
        <v>61</v>
      </c>
      <c r="FBW134" t="s">
        <v>61</v>
      </c>
      <c r="FBX134" t="s">
        <v>61</v>
      </c>
      <c r="FBY134" t="s">
        <v>61</v>
      </c>
      <c r="FBZ134" t="s">
        <v>61</v>
      </c>
      <c r="FCA134" t="s">
        <v>61</v>
      </c>
      <c r="FCB134" t="s">
        <v>61</v>
      </c>
      <c r="FCC134" t="s">
        <v>61</v>
      </c>
      <c r="FCD134" t="s">
        <v>61</v>
      </c>
      <c r="FCE134" t="s">
        <v>61</v>
      </c>
      <c r="FCF134" t="s">
        <v>61</v>
      </c>
      <c r="FCG134" t="s">
        <v>61</v>
      </c>
      <c r="FCH134" t="s">
        <v>61</v>
      </c>
      <c r="FCI134" t="s">
        <v>61</v>
      </c>
      <c r="FCJ134" t="s">
        <v>61</v>
      </c>
      <c r="FCK134" t="s">
        <v>61</v>
      </c>
      <c r="FCL134" t="s">
        <v>61</v>
      </c>
      <c r="FCM134" t="s">
        <v>61</v>
      </c>
      <c r="FCN134" t="s">
        <v>61</v>
      </c>
      <c r="FCO134" t="s">
        <v>61</v>
      </c>
      <c r="FCP134" t="s">
        <v>61</v>
      </c>
      <c r="FCQ134" t="s">
        <v>61</v>
      </c>
      <c r="FCR134" t="s">
        <v>61</v>
      </c>
      <c r="FCS134" t="s">
        <v>61</v>
      </c>
      <c r="FCT134" t="s">
        <v>61</v>
      </c>
      <c r="FCU134" t="s">
        <v>61</v>
      </c>
      <c r="FCV134" t="s">
        <v>61</v>
      </c>
      <c r="FCW134" t="s">
        <v>61</v>
      </c>
      <c r="FCX134" t="s">
        <v>61</v>
      </c>
      <c r="FCY134" t="s">
        <v>61</v>
      </c>
      <c r="FCZ134" t="s">
        <v>61</v>
      </c>
      <c r="FDA134" t="s">
        <v>61</v>
      </c>
      <c r="FDB134" t="s">
        <v>61</v>
      </c>
      <c r="FDC134" t="s">
        <v>61</v>
      </c>
      <c r="FDD134" t="s">
        <v>61</v>
      </c>
      <c r="FDE134" t="s">
        <v>61</v>
      </c>
      <c r="FDF134" t="s">
        <v>61</v>
      </c>
      <c r="FDG134" t="s">
        <v>61</v>
      </c>
      <c r="FDH134" t="s">
        <v>61</v>
      </c>
      <c r="FDI134" t="s">
        <v>61</v>
      </c>
      <c r="FDJ134" t="s">
        <v>61</v>
      </c>
      <c r="FDK134" t="s">
        <v>61</v>
      </c>
      <c r="FDL134" t="s">
        <v>61</v>
      </c>
      <c r="FDM134" t="s">
        <v>61</v>
      </c>
      <c r="FDN134" t="s">
        <v>61</v>
      </c>
      <c r="FDO134" t="s">
        <v>61</v>
      </c>
      <c r="FDP134" t="s">
        <v>61</v>
      </c>
      <c r="FDQ134" t="s">
        <v>61</v>
      </c>
      <c r="FDR134" t="s">
        <v>61</v>
      </c>
      <c r="FDS134" t="s">
        <v>61</v>
      </c>
      <c r="FDT134" t="s">
        <v>61</v>
      </c>
      <c r="FDU134" t="s">
        <v>61</v>
      </c>
      <c r="FDV134" t="s">
        <v>61</v>
      </c>
      <c r="FDW134" t="s">
        <v>61</v>
      </c>
      <c r="FDX134" t="s">
        <v>61</v>
      </c>
      <c r="FDY134" t="s">
        <v>61</v>
      </c>
      <c r="FDZ134" t="s">
        <v>61</v>
      </c>
      <c r="FEA134" t="s">
        <v>61</v>
      </c>
      <c r="FEB134" t="s">
        <v>61</v>
      </c>
      <c r="FEC134" t="s">
        <v>61</v>
      </c>
      <c r="FED134" t="s">
        <v>61</v>
      </c>
      <c r="FEE134" t="s">
        <v>61</v>
      </c>
      <c r="FEF134" t="s">
        <v>61</v>
      </c>
      <c r="FEG134" t="s">
        <v>61</v>
      </c>
      <c r="FEH134" t="s">
        <v>61</v>
      </c>
      <c r="FEI134" t="s">
        <v>61</v>
      </c>
      <c r="FEJ134" t="s">
        <v>61</v>
      </c>
      <c r="FEK134" t="s">
        <v>61</v>
      </c>
      <c r="FEL134" t="s">
        <v>61</v>
      </c>
      <c r="FEM134" t="s">
        <v>61</v>
      </c>
      <c r="FEN134" t="s">
        <v>61</v>
      </c>
      <c r="FEO134" t="s">
        <v>61</v>
      </c>
      <c r="FEP134" t="s">
        <v>61</v>
      </c>
      <c r="FEQ134" t="s">
        <v>61</v>
      </c>
      <c r="FER134" t="s">
        <v>61</v>
      </c>
      <c r="FES134" t="s">
        <v>61</v>
      </c>
      <c r="FET134" t="s">
        <v>61</v>
      </c>
      <c r="FEU134" t="s">
        <v>61</v>
      </c>
      <c r="FEV134" t="s">
        <v>61</v>
      </c>
      <c r="FEW134" t="s">
        <v>61</v>
      </c>
      <c r="FEX134" t="s">
        <v>61</v>
      </c>
      <c r="FEY134" t="s">
        <v>61</v>
      </c>
      <c r="FEZ134" t="s">
        <v>61</v>
      </c>
      <c r="FFA134" t="s">
        <v>61</v>
      </c>
      <c r="FFB134" t="s">
        <v>61</v>
      </c>
      <c r="FFC134" t="s">
        <v>61</v>
      </c>
      <c r="FFD134" t="s">
        <v>61</v>
      </c>
      <c r="FFE134" t="s">
        <v>61</v>
      </c>
      <c r="FFF134" t="s">
        <v>61</v>
      </c>
      <c r="FFG134" t="s">
        <v>61</v>
      </c>
      <c r="FFH134" t="s">
        <v>61</v>
      </c>
      <c r="FFI134" t="s">
        <v>61</v>
      </c>
      <c r="FFJ134" t="s">
        <v>61</v>
      </c>
      <c r="FFK134" t="s">
        <v>61</v>
      </c>
      <c r="FFL134" t="s">
        <v>61</v>
      </c>
      <c r="FFM134" t="s">
        <v>61</v>
      </c>
      <c r="FFN134" t="s">
        <v>61</v>
      </c>
      <c r="FFO134" t="s">
        <v>61</v>
      </c>
      <c r="FFP134" t="s">
        <v>61</v>
      </c>
      <c r="FFQ134" t="s">
        <v>61</v>
      </c>
      <c r="FFR134" t="s">
        <v>61</v>
      </c>
      <c r="FFS134" t="s">
        <v>61</v>
      </c>
      <c r="FFT134" t="s">
        <v>61</v>
      </c>
      <c r="FFU134" t="s">
        <v>61</v>
      </c>
      <c r="FFV134" t="s">
        <v>61</v>
      </c>
      <c r="FFW134" t="s">
        <v>61</v>
      </c>
      <c r="FFX134" t="s">
        <v>61</v>
      </c>
      <c r="FFY134" t="s">
        <v>61</v>
      </c>
      <c r="FFZ134" t="s">
        <v>61</v>
      </c>
      <c r="FGA134" t="s">
        <v>61</v>
      </c>
      <c r="FGB134" t="s">
        <v>61</v>
      </c>
      <c r="FGC134" t="s">
        <v>61</v>
      </c>
      <c r="FGD134" t="s">
        <v>61</v>
      </c>
      <c r="FGE134" t="s">
        <v>61</v>
      </c>
      <c r="FGF134" t="s">
        <v>61</v>
      </c>
      <c r="FGG134" t="s">
        <v>61</v>
      </c>
      <c r="FGH134" t="s">
        <v>61</v>
      </c>
      <c r="FGI134" t="s">
        <v>61</v>
      </c>
      <c r="FGJ134" t="s">
        <v>61</v>
      </c>
      <c r="FGK134" t="s">
        <v>61</v>
      </c>
      <c r="FGL134" t="s">
        <v>61</v>
      </c>
      <c r="FGM134" t="s">
        <v>61</v>
      </c>
      <c r="FGN134" t="s">
        <v>61</v>
      </c>
      <c r="FGO134" t="s">
        <v>61</v>
      </c>
      <c r="FGP134" t="s">
        <v>61</v>
      </c>
      <c r="FGQ134" t="s">
        <v>61</v>
      </c>
      <c r="FGR134" t="s">
        <v>61</v>
      </c>
      <c r="FGS134" t="s">
        <v>61</v>
      </c>
      <c r="FGT134" t="s">
        <v>61</v>
      </c>
      <c r="FGU134" t="s">
        <v>61</v>
      </c>
      <c r="FGV134" t="s">
        <v>61</v>
      </c>
      <c r="FGW134" t="s">
        <v>61</v>
      </c>
      <c r="FGX134" t="s">
        <v>61</v>
      </c>
      <c r="FGY134" t="s">
        <v>61</v>
      </c>
      <c r="FGZ134" t="s">
        <v>61</v>
      </c>
      <c r="FHA134" t="s">
        <v>61</v>
      </c>
      <c r="FHB134" t="s">
        <v>61</v>
      </c>
      <c r="FHC134" t="s">
        <v>61</v>
      </c>
      <c r="FHD134" t="s">
        <v>61</v>
      </c>
      <c r="FHE134" t="s">
        <v>61</v>
      </c>
      <c r="FHF134" t="s">
        <v>61</v>
      </c>
      <c r="FHG134" t="s">
        <v>61</v>
      </c>
      <c r="FHH134" t="s">
        <v>61</v>
      </c>
      <c r="FHI134" t="s">
        <v>61</v>
      </c>
      <c r="FHJ134" t="s">
        <v>61</v>
      </c>
      <c r="FHK134" t="s">
        <v>61</v>
      </c>
      <c r="FHL134" t="s">
        <v>61</v>
      </c>
      <c r="FHM134" t="s">
        <v>61</v>
      </c>
      <c r="FHN134" t="s">
        <v>61</v>
      </c>
      <c r="FHO134" t="s">
        <v>61</v>
      </c>
      <c r="FHP134" t="s">
        <v>61</v>
      </c>
      <c r="FHQ134" t="s">
        <v>61</v>
      </c>
      <c r="FHR134" t="s">
        <v>61</v>
      </c>
      <c r="FHS134" t="s">
        <v>61</v>
      </c>
      <c r="FHT134" t="s">
        <v>61</v>
      </c>
      <c r="FHU134" t="s">
        <v>61</v>
      </c>
      <c r="FHV134" t="s">
        <v>61</v>
      </c>
      <c r="FHW134" t="s">
        <v>61</v>
      </c>
      <c r="FHX134" t="s">
        <v>61</v>
      </c>
      <c r="FHY134" t="s">
        <v>61</v>
      </c>
      <c r="FHZ134" t="s">
        <v>61</v>
      </c>
      <c r="FIA134" t="s">
        <v>61</v>
      </c>
      <c r="FIB134" t="s">
        <v>61</v>
      </c>
      <c r="FIC134" t="s">
        <v>61</v>
      </c>
      <c r="FID134" t="s">
        <v>61</v>
      </c>
      <c r="FIE134" t="s">
        <v>61</v>
      </c>
      <c r="FIF134" t="s">
        <v>61</v>
      </c>
      <c r="FIG134" t="s">
        <v>61</v>
      </c>
      <c r="FIH134" t="s">
        <v>61</v>
      </c>
      <c r="FII134" t="s">
        <v>61</v>
      </c>
      <c r="FIJ134" t="s">
        <v>61</v>
      </c>
      <c r="FIK134" t="s">
        <v>61</v>
      </c>
      <c r="FIL134" t="s">
        <v>61</v>
      </c>
      <c r="FIM134" t="s">
        <v>61</v>
      </c>
      <c r="FIN134" t="s">
        <v>61</v>
      </c>
      <c r="FIO134" t="s">
        <v>61</v>
      </c>
      <c r="FIP134" t="s">
        <v>61</v>
      </c>
      <c r="FIQ134" t="s">
        <v>61</v>
      </c>
      <c r="FIR134" t="s">
        <v>61</v>
      </c>
      <c r="FIS134" t="s">
        <v>61</v>
      </c>
      <c r="FIT134" t="s">
        <v>61</v>
      </c>
      <c r="FIU134" t="s">
        <v>61</v>
      </c>
      <c r="FIV134" t="s">
        <v>61</v>
      </c>
      <c r="FIW134" t="s">
        <v>61</v>
      </c>
      <c r="FIX134" t="s">
        <v>61</v>
      </c>
      <c r="FIY134" t="s">
        <v>61</v>
      </c>
      <c r="FIZ134" t="s">
        <v>61</v>
      </c>
      <c r="FJA134" t="s">
        <v>61</v>
      </c>
      <c r="FJB134" t="s">
        <v>61</v>
      </c>
      <c r="FJC134" t="s">
        <v>61</v>
      </c>
      <c r="FJD134" t="s">
        <v>61</v>
      </c>
      <c r="FJE134" t="s">
        <v>61</v>
      </c>
      <c r="FJF134" t="s">
        <v>61</v>
      </c>
      <c r="FJG134" t="s">
        <v>61</v>
      </c>
      <c r="FJH134" t="s">
        <v>61</v>
      </c>
      <c r="FJI134" t="s">
        <v>61</v>
      </c>
      <c r="FJJ134" t="s">
        <v>61</v>
      </c>
      <c r="FJK134" t="s">
        <v>61</v>
      </c>
      <c r="FJL134" t="s">
        <v>61</v>
      </c>
      <c r="FJM134" t="s">
        <v>61</v>
      </c>
      <c r="FJN134" t="s">
        <v>61</v>
      </c>
      <c r="FJO134" t="s">
        <v>61</v>
      </c>
      <c r="FJP134" t="s">
        <v>61</v>
      </c>
      <c r="FJQ134" t="s">
        <v>61</v>
      </c>
      <c r="FJR134" t="s">
        <v>61</v>
      </c>
      <c r="FJS134" t="s">
        <v>61</v>
      </c>
      <c r="FJT134" t="s">
        <v>61</v>
      </c>
      <c r="FJU134" t="s">
        <v>61</v>
      </c>
      <c r="FJV134" t="s">
        <v>61</v>
      </c>
      <c r="FJW134" t="s">
        <v>61</v>
      </c>
      <c r="FJX134" t="s">
        <v>61</v>
      </c>
      <c r="FJY134" t="s">
        <v>61</v>
      </c>
      <c r="FJZ134" t="s">
        <v>61</v>
      </c>
      <c r="FKA134" t="s">
        <v>61</v>
      </c>
      <c r="FKB134" t="s">
        <v>61</v>
      </c>
      <c r="FKC134" t="s">
        <v>61</v>
      </c>
      <c r="FKD134" t="s">
        <v>61</v>
      </c>
      <c r="FKE134" t="s">
        <v>61</v>
      </c>
      <c r="FKF134" t="s">
        <v>61</v>
      </c>
      <c r="FKG134" t="s">
        <v>61</v>
      </c>
      <c r="FKH134" t="s">
        <v>61</v>
      </c>
      <c r="FKI134" t="s">
        <v>61</v>
      </c>
      <c r="FKJ134" t="s">
        <v>61</v>
      </c>
      <c r="FKK134" t="s">
        <v>61</v>
      </c>
      <c r="FKL134" t="s">
        <v>61</v>
      </c>
      <c r="FKM134" t="s">
        <v>61</v>
      </c>
      <c r="FKN134" t="s">
        <v>61</v>
      </c>
      <c r="FKO134" t="s">
        <v>61</v>
      </c>
      <c r="FKP134" t="s">
        <v>61</v>
      </c>
      <c r="FKQ134" t="s">
        <v>61</v>
      </c>
      <c r="FKR134" t="s">
        <v>61</v>
      </c>
      <c r="FKS134" t="s">
        <v>61</v>
      </c>
      <c r="FKT134" t="s">
        <v>61</v>
      </c>
      <c r="FKU134" t="s">
        <v>61</v>
      </c>
      <c r="FKV134" t="s">
        <v>61</v>
      </c>
      <c r="FKW134" t="s">
        <v>61</v>
      </c>
      <c r="FKX134" t="s">
        <v>61</v>
      </c>
      <c r="FKY134" t="s">
        <v>61</v>
      </c>
      <c r="FKZ134" t="s">
        <v>61</v>
      </c>
      <c r="FLA134" t="s">
        <v>61</v>
      </c>
      <c r="FLB134" t="s">
        <v>61</v>
      </c>
      <c r="FLC134" t="s">
        <v>61</v>
      </c>
      <c r="FLD134" t="s">
        <v>61</v>
      </c>
      <c r="FLE134" t="s">
        <v>61</v>
      </c>
      <c r="FLF134" t="s">
        <v>61</v>
      </c>
      <c r="FLG134" t="s">
        <v>61</v>
      </c>
      <c r="FLH134" t="s">
        <v>61</v>
      </c>
      <c r="FLI134" t="s">
        <v>61</v>
      </c>
      <c r="FLJ134" t="s">
        <v>61</v>
      </c>
      <c r="FLK134" t="s">
        <v>61</v>
      </c>
      <c r="FLL134" t="s">
        <v>61</v>
      </c>
      <c r="FLM134" t="s">
        <v>61</v>
      </c>
      <c r="FLN134" t="s">
        <v>61</v>
      </c>
      <c r="FLO134" t="s">
        <v>61</v>
      </c>
      <c r="FLP134" t="s">
        <v>61</v>
      </c>
      <c r="FLQ134" t="s">
        <v>61</v>
      </c>
      <c r="FLR134" t="s">
        <v>61</v>
      </c>
      <c r="FLS134" t="s">
        <v>61</v>
      </c>
      <c r="FLT134" t="s">
        <v>61</v>
      </c>
      <c r="FLU134" t="s">
        <v>61</v>
      </c>
      <c r="FLV134" t="s">
        <v>61</v>
      </c>
      <c r="FLW134" t="s">
        <v>61</v>
      </c>
      <c r="FLX134" t="s">
        <v>61</v>
      </c>
      <c r="FLY134" t="s">
        <v>61</v>
      </c>
      <c r="FLZ134" t="s">
        <v>61</v>
      </c>
      <c r="FMA134" t="s">
        <v>61</v>
      </c>
      <c r="FMB134" t="s">
        <v>61</v>
      </c>
      <c r="FMC134" t="s">
        <v>61</v>
      </c>
      <c r="FMD134" t="s">
        <v>61</v>
      </c>
      <c r="FME134" t="s">
        <v>61</v>
      </c>
      <c r="FMF134" t="s">
        <v>61</v>
      </c>
      <c r="FMG134" t="s">
        <v>61</v>
      </c>
      <c r="FMH134" t="s">
        <v>61</v>
      </c>
      <c r="FMI134" t="s">
        <v>61</v>
      </c>
      <c r="FMJ134" t="s">
        <v>61</v>
      </c>
      <c r="FMK134" t="s">
        <v>61</v>
      </c>
      <c r="FML134" t="s">
        <v>61</v>
      </c>
      <c r="FMM134" t="s">
        <v>61</v>
      </c>
      <c r="FMN134" t="s">
        <v>61</v>
      </c>
      <c r="FMO134" t="s">
        <v>61</v>
      </c>
      <c r="FMP134" t="s">
        <v>61</v>
      </c>
      <c r="FMQ134" t="s">
        <v>61</v>
      </c>
      <c r="FMR134" t="s">
        <v>61</v>
      </c>
      <c r="FMS134" t="s">
        <v>61</v>
      </c>
      <c r="FMT134" t="s">
        <v>61</v>
      </c>
      <c r="FMU134" t="s">
        <v>61</v>
      </c>
      <c r="FMV134" t="s">
        <v>61</v>
      </c>
      <c r="FMW134" t="s">
        <v>61</v>
      </c>
      <c r="FMX134" t="s">
        <v>61</v>
      </c>
      <c r="FMY134" t="s">
        <v>61</v>
      </c>
      <c r="FMZ134" t="s">
        <v>61</v>
      </c>
      <c r="FNA134" t="s">
        <v>61</v>
      </c>
      <c r="FNB134" t="s">
        <v>61</v>
      </c>
      <c r="FNC134" t="s">
        <v>61</v>
      </c>
      <c r="FND134" t="s">
        <v>61</v>
      </c>
      <c r="FNE134" t="s">
        <v>61</v>
      </c>
      <c r="FNF134" t="s">
        <v>61</v>
      </c>
      <c r="FNG134" t="s">
        <v>61</v>
      </c>
      <c r="FNH134" t="s">
        <v>61</v>
      </c>
      <c r="FNI134" t="s">
        <v>61</v>
      </c>
      <c r="FNJ134" t="s">
        <v>61</v>
      </c>
      <c r="FNK134" t="s">
        <v>61</v>
      </c>
      <c r="FNL134" t="s">
        <v>61</v>
      </c>
      <c r="FNM134" t="s">
        <v>61</v>
      </c>
      <c r="FNN134" t="s">
        <v>61</v>
      </c>
      <c r="FNO134" t="s">
        <v>61</v>
      </c>
      <c r="FNP134" t="s">
        <v>61</v>
      </c>
      <c r="FNQ134" t="s">
        <v>61</v>
      </c>
      <c r="FNR134" t="s">
        <v>61</v>
      </c>
      <c r="FNS134" t="s">
        <v>61</v>
      </c>
      <c r="FNT134" t="s">
        <v>61</v>
      </c>
      <c r="FNU134" t="s">
        <v>61</v>
      </c>
      <c r="FNV134" t="s">
        <v>61</v>
      </c>
      <c r="FNW134" t="s">
        <v>61</v>
      </c>
      <c r="FNX134" t="s">
        <v>61</v>
      </c>
      <c r="FNY134" t="s">
        <v>61</v>
      </c>
      <c r="FNZ134" t="s">
        <v>61</v>
      </c>
      <c r="FOA134" t="s">
        <v>61</v>
      </c>
      <c r="FOB134" t="s">
        <v>61</v>
      </c>
      <c r="FOC134" t="s">
        <v>61</v>
      </c>
      <c r="FOD134" t="s">
        <v>61</v>
      </c>
      <c r="FOE134" t="s">
        <v>61</v>
      </c>
      <c r="FOF134" t="s">
        <v>61</v>
      </c>
      <c r="FOG134" t="s">
        <v>61</v>
      </c>
      <c r="FOH134" t="s">
        <v>61</v>
      </c>
      <c r="FOI134" t="s">
        <v>61</v>
      </c>
      <c r="FOJ134" t="s">
        <v>61</v>
      </c>
      <c r="FOK134" t="s">
        <v>61</v>
      </c>
      <c r="FOL134" t="s">
        <v>61</v>
      </c>
      <c r="FOM134" t="s">
        <v>61</v>
      </c>
      <c r="FON134" t="s">
        <v>61</v>
      </c>
      <c r="FOO134" t="s">
        <v>61</v>
      </c>
      <c r="FOP134" t="s">
        <v>61</v>
      </c>
      <c r="FOQ134" t="s">
        <v>61</v>
      </c>
      <c r="FOR134" t="s">
        <v>61</v>
      </c>
      <c r="FOS134" t="s">
        <v>61</v>
      </c>
      <c r="FOT134" t="s">
        <v>61</v>
      </c>
      <c r="FOU134" t="s">
        <v>61</v>
      </c>
      <c r="FOV134" t="s">
        <v>61</v>
      </c>
      <c r="FOW134" t="s">
        <v>61</v>
      </c>
      <c r="FOX134" t="s">
        <v>61</v>
      </c>
      <c r="FOY134" t="s">
        <v>61</v>
      </c>
      <c r="FOZ134" t="s">
        <v>61</v>
      </c>
      <c r="FPA134" t="s">
        <v>61</v>
      </c>
      <c r="FPB134" t="s">
        <v>61</v>
      </c>
      <c r="FPC134" t="s">
        <v>61</v>
      </c>
      <c r="FPD134" t="s">
        <v>61</v>
      </c>
      <c r="FPE134" t="s">
        <v>61</v>
      </c>
      <c r="FPF134" t="s">
        <v>61</v>
      </c>
      <c r="FPG134" t="s">
        <v>61</v>
      </c>
      <c r="FPH134" t="s">
        <v>61</v>
      </c>
      <c r="FPI134" t="s">
        <v>61</v>
      </c>
      <c r="FPJ134" t="s">
        <v>61</v>
      </c>
      <c r="FPK134" t="s">
        <v>61</v>
      </c>
      <c r="FPL134" t="s">
        <v>61</v>
      </c>
      <c r="FPM134" t="s">
        <v>61</v>
      </c>
      <c r="FPN134" t="s">
        <v>61</v>
      </c>
      <c r="FPO134" t="s">
        <v>61</v>
      </c>
      <c r="FPP134" t="s">
        <v>61</v>
      </c>
      <c r="FPQ134" t="s">
        <v>61</v>
      </c>
      <c r="FPR134" t="s">
        <v>61</v>
      </c>
      <c r="FPS134" t="s">
        <v>61</v>
      </c>
      <c r="FPT134" t="s">
        <v>61</v>
      </c>
      <c r="FPU134" t="s">
        <v>61</v>
      </c>
      <c r="FPV134" t="s">
        <v>61</v>
      </c>
      <c r="FPW134" t="s">
        <v>61</v>
      </c>
      <c r="FPX134" t="s">
        <v>61</v>
      </c>
      <c r="FPY134" t="s">
        <v>61</v>
      </c>
      <c r="FPZ134" t="s">
        <v>61</v>
      </c>
      <c r="FQA134" t="s">
        <v>61</v>
      </c>
      <c r="FQB134" t="s">
        <v>61</v>
      </c>
      <c r="FQC134" t="s">
        <v>61</v>
      </c>
      <c r="FQD134" t="s">
        <v>61</v>
      </c>
      <c r="FQE134" t="s">
        <v>61</v>
      </c>
      <c r="FQF134" t="s">
        <v>61</v>
      </c>
      <c r="FQG134" t="s">
        <v>61</v>
      </c>
      <c r="FQH134" t="s">
        <v>61</v>
      </c>
      <c r="FQI134" t="s">
        <v>61</v>
      </c>
      <c r="FQJ134" t="s">
        <v>61</v>
      </c>
      <c r="FQK134" t="s">
        <v>61</v>
      </c>
      <c r="FQL134" t="s">
        <v>61</v>
      </c>
      <c r="FQM134" t="s">
        <v>61</v>
      </c>
      <c r="FQN134" t="s">
        <v>61</v>
      </c>
      <c r="FQO134" t="s">
        <v>61</v>
      </c>
      <c r="FQP134" t="s">
        <v>61</v>
      </c>
      <c r="FQQ134" t="s">
        <v>61</v>
      </c>
      <c r="FQR134" t="s">
        <v>61</v>
      </c>
      <c r="FQS134" t="s">
        <v>61</v>
      </c>
      <c r="FQT134" t="s">
        <v>61</v>
      </c>
      <c r="FQU134" t="s">
        <v>61</v>
      </c>
      <c r="FQV134" t="s">
        <v>61</v>
      </c>
      <c r="FQW134" t="s">
        <v>61</v>
      </c>
      <c r="FQX134" t="s">
        <v>61</v>
      </c>
      <c r="FQY134" t="s">
        <v>61</v>
      </c>
      <c r="FQZ134" t="s">
        <v>61</v>
      </c>
      <c r="FRA134" t="s">
        <v>61</v>
      </c>
      <c r="FRB134" t="s">
        <v>61</v>
      </c>
      <c r="FRC134" t="s">
        <v>61</v>
      </c>
      <c r="FRD134" t="s">
        <v>61</v>
      </c>
      <c r="FRE134" t="s">
        <v>61</v>
      </c>
      <c r="FRF134" t="s">
        <v>61</v>
      </c>
      <c r="FRG134" t="s">
        <v>61</v>
      </c>
      <c r="FRH134" t="s">
        <v>61</v>
      </c>
      <c r="FRI134" t="s">
        <v>61</v>
      </c>
      <c r="FRJ134" t="s">
        <v>61</v>
      </c>
      <c r="FRK134" t="s">
        <v>61</v>
      </c>
      <c r="FRL134" t="s">
        <v>61</v>
      </c>
      <c r="FRM134" t="s">
        <v>61</v>
      </c>
      <c r="FRN134" t="s">
        <v>61</v>
      </c>
      <c r="FRO134" t="s">
        <v>61</v>
      </c>
      <c r="FRP134" t="s">
        <v>61</v>
      </c>
      <c r="FRQ134" t="s">
        <v>61</v>
      </c>
      <c r="FRR134" t="s">
        <v>61</v>
      </c>
      <c r="FRS134" t="s">
        <v>61</v>
      </c>
      <c r="FRT134" t="s">
        <v>61</v>
      </c>
      <c r="FRU134" t="s">
        <v>61</v>
      </c>
      <c r="FRV134" t="s">
        <v>61</v>
      </c>
      <c r="FRW134" t="s">
        <v>61</v>
      </c>
      <c r="FRX134" t="s">
        <v>61</v>
      </c>
      <c r="FRY134" t="s">
        <v>61</v>
      </c>
      <c r="FRZ134" t="s">
        <v>61</v>
      </c>
      <c r="FSA134" t="s">
        <v>61</v>
      </c>
      <c r="FSB134" t="s">
        <v>61</v>
      </c>
      <c r="FSC134" t="s">
        <v>61</v>
      </c>
      <c r="FSD134" t="s">
        <v>61</v>
      </c>
      <c r="FSE134" t="s">
        <v>61</v>
      </c>
      <c r="FSF134" t="s">
        <v>61</v>
      </c>
      <c r="FSG134" t="s">
        <v>61</v>
      </c>
      <c r="FSH134" t="s">
        <v>61</v>
      </c>
      <c r="FSI134" t="s">
        <v>61</v>
      </c>
      <c r="FSJ134" t="s">
        <v>61</v>
      </c>
      <c r="FSK134" t="s">
        <v>61</v>
      </c>
      <c r="FSL134" t="s">
        <v>61</v>
      </c>
      <c r="FSM134" t="s">
        <v>61</v>
      </c>
      <c r="FSN134" t="s">
        <v>61</v>
      </c>
      <c r="FSO134" t="s">
        <v>61</v>
      </c>
      <c r="FSP134" t="s">
        <v>61</v>
      </c>
      <c r="FSQ134" t="s">
        <v>61</v>
      </c>
      <c r="FSR134" t="s">
        <v>61</v>
      </c>
      <c r="FSS134" t="s">
        <v>61</v>
      </c>
      <c r="FST134" t="s">
        <v>61</v>
      </c>
      <c r="FSU134" t="s">
        <v>61</v>
      </c>
      <c r="FSV134" t="s">
        <v>61</v>
      </c>
      <c r="FSW134" t="s">
        <v>61</v>
      </c>
      <c r="FSX134" t="s">
        <v>61</v>
      </c>
      <c r="FSY134" t="s">
        <v>61</v>
      </c>
      <c r="FSZ134" t="s">
        <v>61</v>
      </c>
      <c r="FTA134" t="s">
        <v>61</v>
      </c>
      <c r="FTB134" t="s">
        <v>61</v>
      </c>
      <c r="FTC134" t="s">
        <v>61</v>
      </c>
      <c r="FTD134" t="s">
        <v>61</v>
      </c>
      <c r="FTE134" t="s">
        <v>61</v>
      </c>
      <c r="FTF134" t="s">
        <v>61</v>
      </c>
      <c r="FTG134" t="s">
        <v>61</v>
      </c>
      <c r="FTH134" t="s">
        <v>61</v>
      </c>
      <c r="FTI134" t="s">
        <v>61</v>
      </c>
      <c r="FTJ134" t="s">
        <v>61</v>
      </c>
      <c r="FTK134" t="s">
        <v>61</v>
      </c>
      <c r="FTL134" t="s">
        <v>61</v>
      </c>
      <c r="FTM134" t="s">
        <v>61</v>
      </c>
      <c r="FTN134" t="s">
        <v>61</v>
      </c>
      <c r="FTO134" t="s">
        <v>61</v>
      </c>
      <c r="FTP134" t="s">
        <v>61</v>
      </c>
      <c r="FTQ134" t="s">
        <v>61</v>
      </c>
      <c r="FTR134" t="s">
        <v>61</v>
      </c>
      <c r="FTS134" t="s">
        <v>61</v>
      </c>
      <c r="FTT134" t="s">
        <v>61</v>
      </c>
      <c r="FTU134" t="s">
        <v>61</v>
      </c>
      <c r="FTV134" t="s">
        <v>61</v>
      </c>
      <c r="FTW134" t="s">
        <v>61</v>
      </c>
      <c r="FTX134" t="s">
        <v>61</v>
      </c>
      <c r="FTY134" t="s">
        <v>61</v>
      </c>
      <c r="FTZ134" t="s">
        <v>61</v>
      </c>
      <c r="FUA134" t="s">
        <v>61</v>
      </c>
      <c r="FUB134" t="s">
        <v>61</v>
      </c>
      <c r="FUC134" t="s">
        <v>61</v>
      </c>
      <c r="FUD134" t="s">
        <v>61</v>
      </c>
      <c r="FUE134" t="s">
        <v>61</v>
      </c>
      <c r="FUF134" t="s">
        <v>61</v>
      </c>
      <c r="FUG134" t="s">
        <v>61</v>
      </c>
      <c r="FUH134" t="s">
        <v>61</v>
      </c>
      <c r="FUI134" t="s">
        <v>61</v>
      </c>
      <c r="FUJ134" t="s">
        <v>61</v>
      </c>
      <c r="FUK134" t="s">
        <v>61</v>
      </c>
      <c r="FUL134" t="s">
        <v>61</v>
      </c>
      <c r="FUM134" t="s">
        <v>61</v>
      </c>
      <c r="FUN134" t="s">
        <v>61</v>
      </c>
      <c r="FUO134" t="s">
        <v>61</v>
      </c>
      <c r="FUP134" t="s">
        <v>61</v>
      </c>
      <c r="FUQ134" t="s">
        <v>61</v>
      </c>
      <c r="FUR134" t="s">
        <v>61</v>
      </c>
      <c r="FUS134" t="s">
        <v>61</v>
      </c>
      <c r="FUT134" t="s">
        <v>61</v>
      </c>
      <c r="FUU134" t="s">
        <v>61</v>
      </c>
      <c r="FUV134" t="s">
        <v>61</v>
      </c>
      <c r="FUW134" t="s">
        <v>61</v>
      </c>
      <c r="FUX134" t="s">
        <v>61</v>
      </c>
      <c r="FUY134" t="s">
        <v>61</v>
      </c>
      <c r="FUZ134" t="s">
        <v>61</v>
      </c>
      <c r="FVA134" t="s">
        <v>61</v>
      </c>
      <c r="FVB134" t="s">
        <v>61</v>
      </c>
      <c r="FVC134" t="s">
        <v>61</v>
      </c>
      <c r="FVD134" t="s">
        <v>61</v>
      </c>
      <c r="FVE134" t="s">
        <v>61</v>
      </c>
      <c r="FVF134" t="s">
        <v>61</v>
      </c>
      <c r="FVG134" t="s">
        <v>61</v>
      </c>
      <c r="FVH134" t="s">
        <v>61</v>
      </c>
      <c r="FVI134" t="s">
        <v>61</v>
      </c>
      <c r="FVJ134" t="s">
        <v>61</v>
      </c>
      <c r="FVK134" t="s">
        <v>61</v>
      </c>
      <c r="FVL134" t="s">
        <v>61</v>
      </c>
      <c r="FVM134" t="s">
        <v>61</v>
      </c>
      <c r="FVN134" t="s">
        <v>61</v>
      </c>
      <c r="FVO134" t="s">
        <v>61</v>
      </c>
      <c r="FVP134" t="s">
        <v>61</v>
      </c>
      <c r="FVQ134" t="s">
        <v>61</v>
      </c>
      <c r="FVR134" t="s">
        <v>61</v>
      </c>
      <c r="FVS134" t="s">
        <v>61</v>
      </c>
      <c r="FVT134" t="s">
        <v>61</v>
      </c>
      <c r="FVU134" t="s">
        <v>61</v>
      </c>
      <c r="FVV134" t="s">
        <v>61</v>
      </c>
      <c r="FVW134" t="s">
        <v>61</v>
      </c>
      <c r="FVX134" t="s">
        <v>61</v>
      </c>
      <c r="FVY134" t="s">
        <v>61</v>
      </c>
      <c r="FVZ134" t="s">
        <v>61</v>
      </c>
      <c r="FWA134" t="s">
        <v>61</v>
      </c>
      <c r="FWB134" t="s">
        <v>61</v>
      </c>
      <c r="FWC134" t="s">
        <v>61</v>
      </c>
      <c r="FWD134" t="s">
        <v>61</v>
      </c>
      <c r="FWE134" t="s">
        <v>61</v>
      </c>
      <c r="FWF134" t="s">
        <v>61</v>
      </c>
      <c r="FWG134" t="s">
        <v>61</v>
      </c>
      <c r="FWH134" t="s">
        <v>61</v>
      </c>
      <c r="FWI134" t="s">
        <v>61</v>
      </c>
      <c r="FWJ134" t="s">
        <v>61</v>
      </c>
      <c r="FWK134" t="s">
        <v>61</v>
      </c>
      <c r="FWL134" t="s">
        <v>61</v>
      </c>
      <c r="FWM134" t="s">
        <v>61</v>
      </c>
      <c r="FWN134" t="s">
        <v>61</v>
      </c>
      <c r="FWO134" t="s">
        <v>61</v>
      </c>
      <c r="FWP134" t="s">
        <v>61</v>
      </c>
      <c r="FWQ134" t="s">
        <v>61</v>
      </c>
      <c r="FWR134" t="s">
        <v>61</v>
      </c>
      <c r="FWS134" t="s">
        <v>61</v>
      </c>
      <c r="FWT134" t="s">
        <v>61</v>
      </c>
      <c r="FWU134" t="s">
        <v>61</v>
      </c>
      <c r="FWV134" t="s">
        <v>61</v>
      </c>
      <c r="FWW134" t="s">
        <v>61</v>
      </c>
      <c r="FWX134" t="s">
        <v>61</v>
      </c>
      <c r="FWY134" t="s">
        <v>61</v>
      </c>
      <c r="FWZ134" t="s">
        <v>61</v>
      </c>
      <c r="FXA134" t="s">
        <v>61</v>
      </c>
      <c r="FXB134" t="s">
        <v>61</v>
      </c>
      <c r="FXC134" t="s">
        <v>61</v>
      </c>
      <c r="FXD134" t="s">
        <v>61</v>
      </c>
      <c r="FXE134" t="s">
        <v>61</v>
      </c>
      <c r="FXF134" t="s">
        <v>61</v>
      </c>
      <c r="FXG134" t="s">
        <v>61</v>
      </c>
      <c r="FXH134" t="s">
        <v>61</v>
      </c>
      <c r="FXI134" t="s">
        <v>61</v>
      </c>
      <c r="FXJ134" t="s">
        <v>61</v>
      </c>
      <c r="FXK134" t="s">
        <v>61</v>
      </c>
      <c r="FXL134" t="s">
        <v>61</v>
      </c>
      <c r="FXM134" t="s">
        <v>61</v>
      </c>
      <c r="FXN134" t="s">
        <v>61</v>
      </c>
      <c r="FXO134" t="s">
        <v>61</v>
      </c>
      <c r="FXP134" t="s">
        <v>61</v>
      </c>
      <c r="FXQ134" t="s">
        <v>61</v>
      </c>
      <c r="FXR134" t="s">
        <v>61</v>
      </c>
      <c r="FXS134" t="s">
        <v>61</v>
      </c>
      <c r="FXT134" t="s">
        <v>61</v>
      </c>
      <c r="FXU134" t="s">
        <v>61</v>
      </c>
      <c r="FXV134" t="s">
        <v>61</v>
      </c>
      <c r="FXW134" t="s">
        <v>61</v>
      </c>
      <c r="FXX134" t="s">
        <v>61</v>
      </c>
      <c r="FXY134" t="s">
        <v>61</v>
      </c>
      <c r="FXZ134" t="s">
        <v>61</v>
      </c>
      <c r="FYA134" t="s">
        <v>61</v>
      </c>
      <c r="FYB134" t="s">
        <v>61</v>
      </c>
      <c r="FYC134" t="s">
        <v>61</v>
      </c>
      <c r="FYD134" t="s">
        <v>61</v>
      </c>
      <c r="FYE134" t="s">
        <v>61</v>
      </c>
      <c r="FYF134" t="s">
        <v>61</v>
      </c>
      <c r="FYG134" t="s">
        <v>61</v>
      </c>
      <c r="FYH134" t="s">
        <v>61</v>
      </c>
      <c r="FYI134" t="s">
        <v>61</v>
      </c>
      <c r="FYJ134" t="s">
        <v>61</v>
      </c>
      <c r="FYK134" t="s">
        <v>61</v>
      </c>
      <c r="FYL134" t="s">
        <v>61</v>
      </c>
      <c r="FYM134" t="s">
        <v>61</v>
      </c>
      <c r="FYN134" t="s">
        <v>61</v>
      </c>
      <c r="FYO134" t="s">
        <v>61</v>
      </c>
      <c r="FYP134" t="s">
        <v>61</v>
      </c>
      <c r="FYQ134" t="s">
        <v>61</v>
      </c>
      <c r="FYR134" t="s">
        <v>61</v>
      </c>
      <c r="FYS134" t="s">
        <v>61</v>
      </c>
      <c r="FYT134" t="s">
        <v>61</v>
      </c>
      <c r="FYU134" t="s">
        <v>61</v>
      </c>
      <c r="FYV134" t="s">
        <v>61</v>
      </c>
      <c r="FYW134" t="s">
        <v>61</v>
      </c>
      <c r="FYX134" t="s">
        <v>61</v>
      </c>
      <c r="FYY134" t="s">
        <v>61</v>
      </c>
      <c r="FYZ134" t="s">
        <v>61</v>
      </c>
      <c r="FZA134" t="s">
        <v>61</v>
      </c>
      <c r="FZB134" t="s">
        <v>61</v>
      </c>
      <c r="FZC134" t="s">
        <v>61</v>
      </c>
      <c r="FZD134" t="s">
        <v>61</v>
      </c>
      <c r="FZE134" t="s">
        <v>61</v>
      </c>
      <c r="FZF134" t="s">
        <v>61</v>
      </c>
      <c r="FZG134" t="s">
        <v>61</v>
      </c>
      <c r="FZH134" t="s">
        <v>61</v>
      </c>
      <c r="FZI134" t="s">
        <v>61</v>
      </c>
      <c r="FZJ134" t="s">
        <v>61</v>
      </c>
      <c r="FZK134" t="s">
        <v>61</v>
      </c>
      <c r="FZL134" t="s">
        <v>61</v>
      </c>
      <c r="FZM134" t="s">
        <v>61</v>
      </c>
      <c r="FZN134" t="s">
        <v>61</v>
      </c>
      <c r="FZO134" t="s">
        <v>61</v>
      </c>
      <c r="FZP134" t="s">
        <v>61</v>
      </c>
      <c r="FZQ134" t="s">
        <v>61</v>
      </c>
      <c r="FZR134" t="s">
        <v>61</v>
      </c>
      <c r="FZS134" t="s">
        <v>61</v>
      </c>
      <c r="FZT134" t="s">
        <v>61</v>
      </c>
      <c r="FZU134" t="s">
        <v>61</v>
      </c>
      <c r="FZV134" t="s">
        <v>61</v>
      </c>
      <c r="FZW134" t="s">
        <v>61</v>
      </c>
      <c r="FZX134" t="s">
        <v>61</v>
      </c>
      <c r="FZY134" t="s">
        <v>61</v>
      </c>
      <c r="FZZ134" t="s">
        <v>61</v>
      </c>
      <c r="GAA134" t="s">
        <v>61</v>
      </c>
      <c r="GAB134" t="s">
        <v>61</v>
      </c>
      <c r="GAC134" t="s">
        <v>61</v>
      </c>
      <c r="GAD134" t="s">
        <v>61</v>
      </c>
      <c r="GAE134" t="s">
        <v>61</v>
      </c>
      <c r="GAF134" t="s">
        <v>61</v>
      </c>
      <c r="GAG134" t="s">
        <v>61</v>
      </c>
      <c r="GAH134" t="s">
        <v>61</v>
      </c>
      <c r="GAI134" t="s">
        <v>61</v>
      </c>
      <c r="GAJ134" t="s">
        <v>61</v>
      </c>
      <c r="GAK134" t="s">
        <v>61</v>
      </c>
      <c r="GAL134" t="s">
        <v>61</v>
      </c>
      <c r="GAM134" t="s">
        <v>61</v>
      </c>
      <c r="GAN134" t="s">
        <v>61</v>
      </c>
      <c r="GAO134" t="s">
        <v>61</v>
      </c>
      <c r="GAP134" t="s">
        <v>61</v>
      </c>
      <c r="GAQ134" t="s">
        <v>61</v>
      </c>
      <c r="GAR134" t="s">
        <v>61</v>
      </c>
      <c r="GAS134" t="s">
        <v>61</v>
      </c>
      <c r="GAT134" t="s">
        <v>61</v>
      </c>
      <c r="GAU134" t="s">
        <v>61</v>
      </c>
      <c r="GAV134" t="s">
        <v>61</v>
      </c>
      <c r="GAW134" t="s">
        <v>61</v>
      </c>
      <c r="GAX134" t="s">
        <v>61</v>
      </c>
      <c r="GAY134" t="s">
        <v>61</v>
      </c>
      <c r="GAZ134" t="s">
        <v>61</v>
      </c>
      <c r="GBA134" t="s">
        <v>61</v>
      </c>
      <c r="GBB134" t="s">
        <v>61</v>
      </c>
      <c r="GBC134" t="s">
        <v>61</v>
      </c>
      <c r="GBD134" t="s">
        <v>61</v>
      </c>
      <c r="GBE134" t="s">
        <v>61</v>
      </c>
      <c r="GBF134" t="s">
        <v>61</v>
      </c>
      <c r="GBG134" t="s">
        <v>61</v>
      </c>
      <c r="GBH134" t="s">
        <v>61</v>
      </c>
      <c r="GBI134" t="s">
        <v>61</v>
      </c>
      <c r="GBJ134" t="s">
        <v>61</v>
      </c>
      <c r="GBK134" t="s">
        <v>61</v>
      </c>
      <c r="GBL134" t="s">
        <v>61</v>
      </c>
      <c r="GBM134" t="s">
        <v>61</v>
      </c>
      <c r="GBN134" t="s">
        <v>61</v>
      </c>
      <c r="GBO134" t="s">
        <v>61</v>
      </c>
      <c r="GBP134" t="s">
        <v>61</v>
      </c>
      <c r="GBQ134" t="s">
        <v>61</v>
      </c>
      <c r="GBR134" t="s">
        <v>61</v>
      </c>
      <c r="GBS134" t="s">
        <v>61</v>
      </c>
      <c r="GBT134" t="s">
        <v>61</v>
      </c>
      <c r="GBU134" t="s">
        <v>61</v>
      </c>
      <c r="GBV134" t="s">
        <v>61</v>
      </c>
      <c r="GBW134" t="s">
        <v>61</v>
      </c>
      <c r="GBX134" t="s">
        <v>61</v>
      </c>
      <c r="GBY134" t="s">
        <v>61</v>
      </c>
      <c r="GBZ134" t="s">
        <v>61</v>
      </c>
      <c r="GCA134" t="s">
        <v>61</v>
      </c>
      <c r="GCB134" t="s">
        <v>61</v>
      </c>
      <c r="GCC134" t="s">
        <v>61</v>
      </c>
      <c r="GCD134" t="s">
        <v>61</v>
      </c>
      <c r="GCE134" t="s">
        <v>61</v>
      </c>
      <c r="GCF134" t="s">
        <v>61</v>
      </c>
      <c r="GCG134" t="s">
        <v>61</v>
      </c>
      <c r="GCH134" t="s">
        <v>61</v>
      </c>
      <c r="GCI134" t="s">
        <v>61</v>
      </c>
      <c r="GCJ134" t="s">
        <v>61</v>
      </c>
      <c r="GCK134" t="s">
        <v>61</v>
      </c>
      <c r="GCL134" t="s">
        <v>61</v>
      </c>
      <c r="GCM134" t="s">
        <v>61</v>
      </c>
      <c r="GCN134" t="s">
        <v>61</v>
      </c>
      <c r="GCO134" t="s">
        <v>61</v>
      </c>
      <c r="GCP134" t="s">
        <v>61</v>
      </c>
      <c r="GCQ134" t="s">
        <v>61</v>
      </c>
      <c r="GCR134" t="s">
        <v>61</v>
      </c>
      <c r="GCS134" t="s">
        <v>61</v>
      </c>
      <c r="GCT134" t="s">
        <v>61</v>
      </c>
      <c r="GCU134" t="s">
        <v>61</v>
      </c>
      <c r="GCV134" t="s">
        <v>61</v>
      </c>
      <c r="GCW134" t="s">
        <v>61</v>
      </c>
      <c r="GCX134" t="s">
        <v>61</v>
      </c>
      <c r="GCY134" t="s">
        <v>61</v>
      </c>
      <c r="GCZ134" t="s">
        <v>61</v>
      </c>
      <c r="GDA134" t="s">
        <v>61</v>
      </c>
      <c r="GDB134" t="s">
        <v>61</v>
      </c>
      <c r="GDC134" t="s">
        <v>61</v>
      </c>
      <c r="GDD134" t="s">
        <v>61</v>
      </c>
      <c r="GDE134" t="s">
        <v>61</v>
      </c>
      <c r="GDF134" t="s">
        <v>61</v>
      </c>
      <c r="GDG134" t="s">
        <v>61</v>
      </c>
      <c r="GDH134" t="s">
        <v>61</v>
      </c>
      <c r="GDI134" t="s">
        <v>61</v>
      </c>
      <c r="GDJ134" t="s">
        <v>61</v>
      </c>
      <c r="GDK134" t="s">
        <v>61</v>
      </c>
      <c r="GDL134" t="s">
        <v>61</v>
      </c>
      <c r="GDM134" t="s">
        <v>61</v>
      </c>
      <c r="GDN134" t="s">
        <v>61</v>
      </c>
      <c r="GDO134" t="s">
        <v>61</v>
      </c>
      <c r="GDP134" t="s">
        <v>61</v>
      </c>
      <c r="GDQ134" t="s">
        <v>61</v>
      </c>
      <c r="GDR134" t="s">
        <v>61</v>
      </c>
      <c r="GDS134" t="s">
        <v>61</v>
      </c>
      <c r="GDT134" t="s">
        <v>61</v>
      </c>
      <c r="GDU134" t="s">
        <v>61</v>
      </c>
      <c r="GDV134" t="s">
        <v>61</v>
      </c>
      <c r="GDW134" t="s">
        <v>61</v>
      </c>
      <c r="GDX134" t="s">
        <v>61</v>
      </c>
      <c r="GDY134" t="s">
        <v>61</v>
      </c>
      <c r="GDZ134" t="s">
        <v>61</v>
      </c>
      <c r="GEA134" t="s">
        <v>61</v>
      </c>
      <c r="GEB134" t="s">
        <v>61</v>
      </c>
      <c r="GEC134" t="s">
        <v>61</v>
      </c>
      <c r="GED134" t="s">
        <v>61</v>
      </c>
      <c r="GEE134" t="s">
        <v>61</v>
      </c>
      <c r="GEF134" t="s">
        <v>61</v>
      </c>
      <c r="GEG134" t="s">
        <v>61</v>
      </c>
      <c r="GEH134" t="s">
        <v>61</v>
      </c>
      <c r="GEI134" t="s">
        <v>61</v>
      </c>
      <c r="GEJ134" t="s">
        <v>61</v>
      </c>
      <c r="GEK134" t="s">
        <v>61</v>
      </c>
      <c r="GEL134" t="s">
        <v>61</v>
      </c>
      <c r="GEM134" t="s">
        <v>61</v>
      </c>
      <c r="GEN134" t="s">
        <v>61</v>
      </c>
      <c r="GEO134" t="s">
        <v>61</v>
      </c>
      <c r="GEP134" t="s">
        <v>61</v>
      </c>
      <c r="GEQ134" t="s">
        <v>61</v>
      </c>
      <c r="GER134" t="s">
        <v>61</v>
      </c>
      <c r="GES134" t="s">
        <v>61</v>
      </c>
      <c r="GET134" t="s">
        <v>61</v>
      </c>
      <c r="GEU134" t="s">
        <v>61</v>
      </c>
      <c r="GEV134" t="s">
        <v>61</v>
      </c>
      <c r="GEW134" t="s">
        <v>61</v>
      </c>
      <c r="GEX134" t="s">
        <v>61</v>
      </c>
      <c r="GEY134" t="s">
        <v>61</v>
      </c>
      <c r="GEZ134" t="s">
        <v>61</v>
      </c>
      <c r="GFA134" t="s">
        <v>61</v>
      </c>
      <c r="GFB134" t="s">
        <v>61</v>
      </c>
      <c r="GFC134" t="s">
        <v>61</v>
      </c>
      <c r="GFD134" t="s">
        <v>61</v>
      </c>
      <c r="GFE134" t="s">
        <v>61</v>
      </c>
      <c r="GFF134" t="s">
        <v>61</v>
      </c>
      <c r="GFG134" t="s">
        <v>61</v>
      </c>
      <c r="GFH134" t="s">
        <v>61</v>
      </c>
      <c r="GFI134" t="s">
        <v>61</v>
      </c>
      <c r="GFJ134" t="s">
        <v>61</v>
      </c>
      <c r="GFK134" t="s">
        <v>61</v>
      </c>
      <c r="GFL134" t="s">
        <v>61</v>
      </c>
      <c r="GFM134" t="s">
        <v>61</v>
      </c>
      <c r="GFN134" t="s">
        <v>61</v>
      </c>
      <c r="GFO134" t="s">
        <v>61</v>
      </c>
      <c r="GFP134" t="s">
        <v>61</v>
      </c>
      <c r="GFQ134" t="s">
        <v>61</v>
      </c>
      <c r="GFR134" t="s">
        <v>61</v>
      </c>
      <c r="GFS134" t="s">
        <v>61</v>
      </c>
      <c r="GFT134" t="s">
        <v>61</v>
      </c>
      <c r="GFU134" t="s">
        <v>61</v>
      </c>
      <c r="GFV134" t="s">
        <v>61</v>
      </c>
      <c r="GFW134" t="s">
        <v>61</v>
      </c>
      <c r="GFX134" t="s">
        <v>61</v>
      </c>
      <c r="GFY134" t="s">
        <v>61</v>
      </c>
      <c r="GFZ134" t="s">
        <v>61</v>
      </c>
      <c r="GGA134" t="s">
        <v>61</v>
      </c>
      <c r="GGB134" t="s">
        <v>61</v>
      </c>
      <c r="GGC134" t="s">
        <v>61</v>
      </c>
      <c r="GGD134" t="s">
        <v>61</v>
      </c>
      <c r="GGE134" t="s">
        <v>61</v>
      </c>
      <c r="GGF134" t="s">
        <v>61</v>
      </c>
      <c r="GGG134" t="s">
        <v>61</v>
      </c>
      <c r="GGH134" t="s">
        <v>61</v>
      </c>
      <c r="GGI134" t="s">
        <v>61</v>
      </c>
      <c r="GGJ134" t="s">
        <v>61</v>
      </c>
      <c r="GGK134" t="s">
        <v>61</v>
      </c>
      <c r="GGL134" t="s">
        <v>61</v>
      </c>
      <c r="GGM134" t="s">
        <v>61</v>
      </c>
      <c r="GGN134" t="s">
        <v>61</v>
      </c>
      <c r="GGO134" t="s">
        <v>61</v>
      </c>
      <c r="GGP134" t="s">
        <v>61</v>
      </c>
      <c r="GGQ134" t="s">
        <v>61</v>
      </c>
      <c r="GGR134" t="s">
        <v>61</v>
      </c>
      <c r="GGS134" t="s">
        <v>61</v>
      </c>
      <c r="GGT134" t="s">
        <v>61</v>
      </c>
      <c r="GGU134" t="s">
        <v>61</v>
      </c>
      <c r="GGV134" t="s">
        <v>61</v>
      </c>
      <c r="GGW134" t="s">
        <v>61</v>
      </c>
      <c r="GGX134" t="s">
        <v>61</v>
      </c>
      <c r="GGY134" t="s">
        <v>61</v>
      </c>
      <c r="GGZ134" t="s">
        <v>61</v>
      </c>
      <c r="GHA134" t="s">
        <v>61</v>
      </c>
      <c r="GHB134" t="s">
        <v>61</v>
      </c>
      <c r="GHC134" t="s">
        <v>61</v>
      </c>
      <c r="GHD134" t="s">
        <v>61</v>
      </c>
      <c r="GHE134" t="s">
        <v>61</v>
      </c>
      <c r="GHF134" t="s">
        <v>61</v>
      </c>
      <c r="GHG134" t="s">
        <v>61</v>
      </c>
      <c r="GHH134" t="s">
        <v>61</v>
      </c>
      <c r="GHI134" t="s">
        <v>61</v>
      </c>
      <c r="GHJ134" t="s">
        <v>61</v>
      </c>
      <c r="GHK134" t="s">
        <v>61</v>
      </c>
      <c r="GHL134" t="s">
        <v>61</v>
      </c>
      <c r="GHM134" t="s">
        <v>61</v>
      </c>
      <c r="GHN134" t="s">
        <v>61</v>
      </c>
      <c r="GHO134" t="s">
        <v>61</v>
      </c>
      <c r="GHP134" t="s">
        <v>61</v>
      </c>
      <c r="GHQ134" t="s">
        <v>61</v>
      </c>
      <c r="GHR134" t="s">
        <v>61</v>
      </c>
      <c r="GHS134" t="s">
        <v>61</v>
      </c>
      <c r="GHT134" t="s">
        <v>61</v>
      </c>
      <c r="GHU134" t="s">
        <v>61</v>
      </c>
      <c r="GHV134" t="s">
        <v>61</v>
      </c>
      <c r="GHW134" t="s">
        <v>61</v>
      </c>
      <c r="GHX134" t="s">
        <v>61</v>
      </c>
      <c r="GHY134" t="s">
        <v>61</v>
      </c>
      <c r="GHZ134" t="s">
        <v>61</v>
      </c>
      <c r="GIA134" t="s">
        <v>61</v>
      </c>
      <c r="GIB134" t="s">
        <v>61</v>
      </c>
      <c r="GIC134" t="s">
        <v>61</v>
      </c>
      <c r="GID134" t="s">
        <v>61</v>
      </c>
      <c r="GIE134" t="s">
        <v>61</v>
      </c>
      <c r="GIF134" t="s">
        <v>61</v>
      </c>
      <c r="GIG134" t="s">
        <v>61</v>
      </c>
      <c r="GIH134" t="s">
        <v>61</v>
      </c>
      <c r="GII134" t="s">
        <v>61</v>
      </c>
      <c r="GIJ134" t="s">
        <v>61</v>
      </c>
      <c r="GIK134" t="s">
        <v>61</v>
      </c>
      <c r="GIL134" t="s">
        <v>61</v>
      </c>
      <c r="GIM134" t="s">
        <v>61</v>
      </c>
      <c r="GIN134" t="s">
        <v>61</v>
      </c>
      <c r="GIO134" t="s">
        <v>61</v>
      </c>
      <c r="GIP134" t="s">
        <v>61</v>
      </c>
      <c r="GIQ134" t="s">
        <v>61</v>
      </c>
      <c r="GIR134" t="s">
        <v>61</v>
      </c>
      <c r="GIS134" t="s">
        <v>61</v>
      </c>
      <c r="GIT134" t="s">
        <v>61</v>
      </c>
      <c r="GIU134" t="s">
        <v>61</v>
      </c>
      <c r="GIV134" t="s">
        <v>61</v>
      </c>
      <c r="GIW134" t="s">
        <v>61</v>
      </c>
      <c r="GIX134" t="s">
        <v>61</v>
      </c>
      <c r="GIY134" t="s">
        <v>61</v>
      </c>
      <c r="GIZ134" t="s">
        <v>61</v>
      </c>
      <c r="GJA134" t="s">
        <v>61</v>
      </c>
      <c r="GJB134" t="s">
        <v>61</v>
      </c>
      <c r="GJC134" t="s">
        <v>61</v>
      </c>
      <c r="GJD134" t="s">
        <v>61</v>
      </c>
      <c r="GJE134" t="s">
        <v>61</v>
      </c>
      <c r="GJF134" t="s">
        <v>61</v>
      </c>
      <c r="GJG134" t="s">
        <v>61</v>
      </c>
      <c r="GJH134" t="s">
        <v>61</v>
      </c>
      <c r="GJI134" t="s">
        <v>61</v>
      </c>
      <c r="GJJ134" t="s">
        <v>61</v>
      </c>
      <c r="GJK134" t="s">
        <v>61</v>
      </c>
      <c r="GJL134" t="s">
        <v>61</v>
      </c>
      <c r="GJM134" t="s">
        <v>61</v>
      </c>
      <c r="GJN134" t="s">
        <v>61</v>
      </c>
      <c r="GJO134" t="s">
        <v>61</v>
      </c>
      <c r="GJP134" t="s">
        <v>61</v>
      </c>
      <c r="GJQ134" t="s">
        <v>61</v>
      </c>
      <c r="GJR134" t="s">
        <v>61</v>
      </c>
      <c r="GJS134" t="s">
        <v>61</v>
      </c>
      <c r="GJT134" t="s">
        <v>61</v>
      </c>
      <c r="GJU134" t="s">
        <v>61</v>
      </c>
      <c r="GJV134" t="s">
        <v>61</v>
      </c>
      <c r="GJW134" t="s">
        <v>61</v>
      </c>
      <c r="GJX134" t="s">
        <v>61</v>
      </c>
      <c r="GJY134" t="s">
        <v>61</v>
      </c>
      <c r="GJZ134" t="s">
        <v>61</v>
      </c>
      <c r="GKA134" t="s">
        <v>61</v>
      </c>
      <c r="GKB134" t="s">
        <v>61</v>
      </c>
      <c r="GKC134" t="s">
        <v>61</v>
      </c>
      <c r="GKD134" t="s">
        <v>61</v>
      </c>
      <c r="GKE134" t="s">
        <v>61</v>
      </c>
      <c r="GKF134" t="s">
        <v>61</v>
      </c>
      <c r="GKG134" t="s">
        <v>61</v>
      </c>
      <c r="GKH134" t="s">
        <v>61</v>
      </c>
      <c r="GKI134" t="s">
        <v>61</v>
      </c>
      <c r="GKJ134" t="s">
        <v>61</v>
      </c>
      <c r="GKK134" t="s">
        <v>61</v>
      </c>
      <c r="GKL134" t="s">
        <v>61</v>
      </c>
      <c r="GKM134" t="s">
        <v>61</v>
      </c>
      <c r="GKN134" t="s">
        <v>61</v>
      </c>
      <c r="GKO134" t="s">
        <v>61</v>
      </c>
      <c r="GKP134" t="s">
        <v>61</v>
      </c>
      <c r="GKQ134" t="s">
        <v>61</v>
      </c>
      <c r="GKR134" t="s">
        <v>61</v>
      </c>
      <c r="GKS134" t="s">
        <v>61</v>
      </c>
      <c r="GKT134" t="s">
        <v>61</v>
      </c>
      <c r="GKU134" t="s">
        <v>61</v>
      </c>
      <c r="GKV134" t="s">
        <v>61</v>
      </c>
      <c r="GKW134" t="s">
        <v>61</v>
      </c>
      <c r="GKX134" t="s">
        <v>61</v>
      </c>
      <c r="GKY134" t="s">
        <v>61</v>
      </c>
      <c r="GKZ134" t="s">
        <v>61</v>
      </c>
      <c r="GLA134" t="s">
        <v>61</v>
      </c>
      <c r="GLB134" t="s">
        <v>61</v>
      </c>
      <c r="GLC134" t="s">
        <v>61</v>
      </c>
      <c r="GLD134" t="s">
        <v>61</v>
      </c>
      <c r="GLE134" t="s">
        <v>61</v>
      </c>
      <c r="GLF134" t="s">
        <v>61</v>
      </c>
      <c r="GLG134" t="s">
        <v>61</v>
      </c>
      <c r="GLH134" t="s">
        <v>61</v>
      </c>
      <c r="GLI134" t="s">
        <v>61</v>
      </c>
      <c r="GLJ134" t="s">
        <v>61</v>
      </c>
      <c r="GLK134" t="s">
        <v>61</v>
      </c>
      <c r="GLL134" t="s">
        <v>61</v>
      </c>
      <c r="GLM134" t="s">
        <v>61</v>
      </c>
      <c r="GLN134" t="s">
        <v>61</v>
      </c>
      <c r="GLO134" t="s">
        <v>61</v>
      </c>
      <c r="GLP134" t="s">
        <v>61</v>
      </c>
      <c r="GLQ134" t="s">
        <v>61</v>
      </c>
      <c r="GLR134" t="s">
        <v>61</v>
      </c>
      <c r="GLS134" t="s">
        <v>61</v>
      </c>
      <c r="GLT134" t="s">
        <v>61</v>
      </c>
      <c r="GLU134" t="s">
        <v>61</v>
      </c>
      <c r="GLV134" t="s">
        <v>61</v>
      </c>
      <c r="GLW134" t="s">
        <v>61</v>
      </c>
      <c r="GLX134" t="s">
        <v>61</v>
      </c>
      <c r="GLY134" t="s">
        <v>61</v>
      </c>
      <c r="GLZ134" t="s">
        <v>61</v>
      </c>
      <c r="GMA134" t="s">
        <v>61</v>
      </c>
      <c r="GMB134" t="s">
        <v>61</v>
      </c>
      <c r="GMC134" t="s">
        <v>61</v>
      </c>
      <c r="GMD134" t="s">
        <v>61</v>
      </c>
      <c r="GME134" t="s">
        <v>61</v>
      </c>
      <c r="GMF134" t="s">
        <v>61</v>
      </c>
      <c r="GMG134" t="s">
        <v>61</v>
      </c>
      <c r="GMH134" t="s">
        <v>61</v>
      </c>
      <c r="GMI134" t="s">
        <v>61</v>
      </c>
      <c r="GMJ134" t="s">
        <v>61</v>
      </c>
      <c r="GMK134" t="s">
        <v>61</v>
      </c>
      <c r="GML134" t="s">
        <v>61</v>
      </c>
      <c r="GMM134" t="s">
        <v>61</v>
      </c>
      <c r="GMN134" t="s">
        <v>61</v>
      </c>
      <c r="GMO134" t="s">
        <v>61</v>
      </c>
      <c r="GMP134" t="s">
        <v>61</v>
      </c>
      <c r="GMQ134" t="s">
        <v>61</v>
      </c>
      <c r="GMR134" t="s">
        <v>61</v>
      </c>
      <c r="GMS134" t="s">
        <v>61</v>
      </c>
      <c r="GMT134" t="s">
        <v>61</v>
      </c>
      <c r="GMU134" t="s">
        <v>61</v>
      </c>
      <c r="GMV134" t="s">
        <v>61</v>
      </c>
      <c r="GMW134" t="s">
        <v>61</v>
      </c>
      <c r="GMX134" t="s">
        <v>61</v>
      </c>
      <c r="GMY134" t="s">
        <v>61</v>
      </c>
      <c r="GMZ134" t="s">
        <v>61</v>
      </c>
      <c r="GNA134" t="s">
        <v>61</v>
      </c>
      <c r="GNB134" t="s">
        <v>61</v>
      </c>
      <c r="GNC134" t="s">
        <v>61</v>
      </c>
      <c r="GND134" t="s">
        <v>61</v>
      </c>
      <c r="GNE134" t="s">
        <v>61</v>
      </c>
      <c r="GNF134" t="s">
        <v>61</v>
      </c>
      <c r="GNG134" t="s">
        <v>61</v>
      </c>
      <c r="GNH134" t="s">
        <v>61</v>
      </c>
      <c r="GNI134" t="s">
        <v>61</v>
      </c>
      <c r="GNJ134" t="s">
        <v>61</v>
      </c>
      <c r="GNK134" t="s">
        <v>61</v>
      </c>
      <c r="GNL134" t="s">
        <v>61</v>
      </c>
      <c r="GNM134" t="s">
        <v>61</v>
      </c>
      <c r="GNN134" t="s">
        <v>61</v>
      </c>
      <c r="GNO134" t="s">
        <v>61</v>
      </c>
      <c r="GNP134" t="s">
        <v>61</v>
      </c>
      <c r="GNQ134" t="s">
        <v>61</v>
      </c>
      <c r="GNR134" t="s">
        <v>61</v>
      </c>
      <c r="GNS134" t="s">
        <v>61</v>
      </c>
      <c r="GNT134" t="s">
        <v>61</v>
      </c>
      <c r="GNU134" t="s">
        <v>61</v>
      </c>
      <c r="GNV134" t="s">
        <v>61</v>
      </c>
      <c r="GNW134" t="s">
        <v>61</v>
      </c>
      <c r="GNX134" t="s">
        <v>61</v>
      </c>
      <c r="GNY134" t="s">
        <v>61</v>
      </c>
      <c r="GNZ134" t="s">
        <v>61</v>
      </c>
      <c r="GOA134" t="s">
        <v>61</v>
      </c>
      <c r="GOB134" t="s">
        <v>61</v>
      </c>
      <c r="GOC134" t="s">
        <v>61</v>
      </c>
      <c r="GOD134" t="s">
        <v>61</v>
      </c>
      <c r="GOE134" t="s">
        <v>61</v>
      </c>
      <c r="GOF134" t="s">
        <v>61</v>
      </c>
      <c r="GOG134" t="s">
        <v>61</v>
      </c>
      <c r="GOH134" t="s">
        <v>61</v>
      </c>
      <c r="GOI134" t="s">
        <v>61</v>
      </c>
      <c r="GOJ134" t="s">
        <v>61</v>
      </c>
      <c r="GOK134" t="s">
        <v>61</v>
      </c>
      <c r="GOL134" t="s">
        <v>61</v>
      </c>
      <c r="GOM134" t="s">
        <v>61</v>
      </c>
      <c r="GON134" t="s">
        <v>61</v>
      </c>
      <c r="GOO134" t="s">
        <v>61</v>
      </c>
      <c r="GOP134" t="s">
        <v>61</v>
      </c>
      <c r="GOQ134" t="s">
        <v>61</v>
      </c>
      <c r="GOR134" t="s">
        <v>61</v>
      </c>
      <c r="GOS134" t="s">
        <v>61</v>
      </c>
      <c r="GOT134" t="s">
        <v>61</v>
      </c>
      <c r="GOU134" t="s">
        <v>61</v>
      </c>
      <c r="GOV134" t="s">
        <v>61</v>
      </c>
      <c r="GOW134" t="s">
        <v>61</v>
      </c>
      <c r="GOX134" t="s">
        <v>61</v>
      </c>
      <c r="GOY134" t="s">
        <v>61</v>
      </c>
      <c r="GOZ134" t="s">
        <v>61</v>
      </c>
      <c r="GPA134" t="s">
        <v>61</v>
      </c>
      <c r="GPB134" t="s">
        <v>61</v>
      </c>
      <c r="GPC134" t="s">
        <v>61</v>
      </c>
      <c r="GPD134" t="s">
        <v>61</v>
      </c>
      <c r="GPE134" t="s">
        <v>61</v>
      </c>
      <c r="GPF134" t="s">
        <v>61</v>
      </c>
      <c r="GPG134" t="s">
        <v>61</v>
      </c>
      <c r="GPH134" t="s">
        <v>61</v>
      </c>
      <c r="GPI134" t="s">
        <v>61</v>
      </c>
      <c r="GPJ134" t="s">
        <v>61</v>
      </c>
      <c r="GPK134" t="s">
        <v>61</v>
      </c>
      <c r="GPL134" t="s">
        <v>61</v>
      </c>
      <c r="GPM134" t="s">
        <v>61</v>
      </c>
      <c r="GPN134" t="s">
        <v>61</v>
      </c>
      <c r="GPO134" t="s">
        <v>61</v>
      </c>
      <c r="GPP134" t="s">
        <v>61</v>
      </c>
      <c r="GPQ134" t="s">
        <v>61</v>
      </c>
      <c r="GPR134" t="s">
        <v>61</v>
      </c>
      <c r="GPS134" t="s">
        <v>61</v>
      </c>
      <c r="GPT134" t="s">
        <v>61</v>
      </c>
      <c r="GPU134" t="s">
        <v>61</v>
      </c>
      <c r="GPV134" t="s">
        <v>61</v>
      </c>
      <c r="GPW134" t="s">
        <v>61</v>
      </c>
      <c r="GPX134" t="s">
        <v>61</v>
      </c>
      <c r="GPY134" t="s">
        <v>61</v>
      </c>
      <c r="GPZ134" t="s">
        <v>61</v>
      </c>
      <c r="GQA134" t="s">
        <v>61</v>
      </c>
      <c r="GQB134" t="s">
        <v>61</v>
      </c>
      <c r="GQC134" t="s">
        <v>61</v>
      </c>
      <c r="GQD134" t="s">
        <v>61</v>
      </c>
      <c r="GQE134" t="s">
        <v>61</v>
      </c>
      <c r="GQF134" t="s">
        <v>61</v>
      </c>
      <c r="GQG134" t="s">
        <v>61</v>
      </c>
      <c r="GQH134" t="s">
        <v>61</v>
      </c>
      <c r="GQI134" t="s">
        <v>61</v>
      </c>
      <c r="GQJ134" t="s">
        <v>61</v>
      </c>
      <c r="GQK134" t="s">
        <v>61</v>
      </c>
      <c r="GQL134" t="s">
        <v>61</v>
      </c>
      <c r="GQM134" t="s">
        <v>61</v>
      </c>
      <c r="GQN134" t="s">
        <v>61</v>
      </c>
      <c r="GQO134" t="s">
        <v>61</v>
      </c>
      <c r="GQP134" t="s">
        <v>61</v>
      </c>
      <c r="GQQ134" t="s">
        <v>61</v>
      </c>
      <c r="GQR134" t="s">
        <v>61</v>
      </c>
      <c r="GQS134" t="s">
        <v>61</v>
      </c>
      <c r="GQT134" t="s">
        <v>61</v>
      </c>
      <c r="GQU134" t="s">
        <v>61</v>
      </c>
      <c r="GQV134" t="s">
        <v>61</v>
      </c>
      <c r="GQW134" t="s">
        <v>61</v>
      </c>
      <c r="GQX134" t="s">
        <v>61</v>
      </c>
      <c r="GQY134" t="s">
        <v>61</v>
      </c>
      <c r="GQZ134" t="s">
        <v>61</v>
      </c>
      <c r="GRA134" t="s">
        <v>61</v>
      </c>
      <c r="GRB134" t="s">
        <v>61</v>
      </c>
      <c r="GRC134" t="s">
        <v>61</v>
      </c>
      <c r="GRD134" t="s">
        <v>61</v>
      </c>
      <c r="GRE134" t="s">
        <v>61</v>
      </c>
      <c r="GRF134" t="s">
        <v>61</v>
      </c>
      <c r="GRG134" t="s">
        <v>61</v>
      </c>
      <c r="GRH134" t="s">
        <v>61</v>
      </c>
      <c r="GRI134" t="s">
        <v>61</v>
      </c>
      <c r="GRJ134" t="s">
        <v>61</v>
      </c>
      <c r="GRK134" t="s">
        <v>61</v>
      </c>
      <c r="GRL134" t="s">
        <v>61</v>
      </c>
      <c r="GRM134" t="s">
        <v>61</v>
      </c>
      <c r="GRN134" t="s">
        <v>61</v>
      </c>
      <c r="GRO134" t="s">
        <v>61</v>
      </c>
      <c r="GRP134" t="s">
        <v>61</v>
      </c>
      <c r="GRQ134" t="s">
        <v>61</v>
      </c>
      <c r="GRR134" t="s">
        <v>61</v>
      </c>
      <c r="GRS134" t="s">
        <v>61</v>
      </c>
      <c r="GRT134" t="s">
        <v>61</v>
      </c>
      <c r="GRU134" t="s">
        <v>61</v>
      </c>
      <c r="GRV134" t="s">
        <v>61</v>
      </c>
      <c r="GRW134" t="s">
        <v>61</v>
      </c>
      <c r="GRX134" t="s">
        <v>61</v>
      </c>
      <c r="GRY134" t="s">
        <v>61</v>
      </c>
      <c r="GRZ134" t="s">
        <v>61</v>
      </c>
      <c r="GSA134" t="s">
        <v>61</v>
      </c>
      <c r="GSB134" t="s">
        <v>61</v>
      </c>
      <c r="GSC134" t="s">
        <v>61</v>
      </c>
      <c r="GSD134" t="s">
        <v>61</v>
      </c>
      <c r="GSE134" t="s">
        <v>61</v>
      </c>
      <c r="GSF134" t="s">
        <v>61</v>
      </c>
      <c r="GSG134" t="s">
        <v>61</v>
      </c>
      <c r="GSH134" t="s">
        <v>61</v>
      </c>
      <c r="GSI134" t="s">
        <v>61</v>
      </c>
      <c r="GSJ134" t="s">
        <v>61</v>
      </c>
      <c r="GSK134" t="s">
        <v>61</v>
      </c>
      <c r="GSL134" t="s">
        <v>61</v>
      </c>
      <c r="GSM134" t="s">
        <v>61</v>
      </c>
      <c r="GSN134" t="s">
        <v>61</v>
      </c>
      <c r="GSO134" t="s">
        <v>61</v>
      </c>
      <c r="GSP134" t="s">
        <v>61</v>
      </c>
      <c r="GSQ134" t="s">
        <v>61</v>
      </c>
      <c r="GSR134" t="s">
        <v>61</v>
      </c>
      <c r="GSS134" t="s">
        <v>61</v>
      </c>
      <c r="GST134" t="s">
        <v>61</v>
      </c>
      <c r="GSU134" t="s">
        <v>61</v>
      </c>
      <c r="GSV134" t="s">
        <v>61</v>
      </c>
      <c r="GSW134" t="s">
        <v>61</v>
      </c>
      <c r="GSX134" t="s">
        <v>61</v>
      </c>
      <c r="GSY134" t="s">
        <v>61</v>
      </c>
      <c r="GSZ134" t="s">
        <v>61</v>
      </c>
      <c r="GTA134" t="s">
        <v>61</v>
      </c>
      <c r="GTB134" t="s">
        <v>61</v>
      </c>
      <c r="GTC134" t="s">
        <v>61</v>
      </c>
      <c r="GTD134" t="s">
        <v>61</v>
      </c>
      <c r="GTE134" t="s">
        <v>61</v>
      </c>
      <c r="GTF134" t="s">
        <v>61</v>
      </c>
      <c r="GTG134" t="s">
        <v>61</v>
      </c>
      <c r="GTH134" t="s">
        <v>61</v>
      </c>
      <c r="GTI134" t="s">
        <v>61</v>
      </c>
      <c r="GTJ134" t="s">
        <v>61</v>
      </c>
      <c r="GTK134" t="s">
        <v>61</v>
      </c>
      <c r="GTL134" t="s">
        <v>61</v>
      </c>
      <c r="GTM134" t="s">
        <v>61</v>
      </c>
      <c r="GTN134" t="s">
        <v>61</v>
      </c>
      <c r="GTO134" t="s">
        <v>61</v>
      </c>
      <c r="GTP134" t="s">
        <v>61</v>
      </c>
      <c r="GTQ134" t="s">
        <v>61</v>
      </c>
      <c r="GTR134" t="s">
        <v>61</v>
      </c>
      <c r="GTS134" t="s">
        <v>61</v>
      </c>
      <c r="GTT134" t="s">
        <v>61</v>
      </c>
      <c r="GTU134" t="s">
        <v>61</v>
      </c>
      <c r="GTV134" t="s">
        <v>61</v>
      </c>
      <c r="GTW134" t="s">
        <v>61</v>
      </c>
      <c r="GTX134" t="s">
        <v>61</v>
      </c>
      <c r="GTY134" t="s">
        <v>61</v>
      </c>
      <c r="GTZ134" t="s">
        <v>61</v>
      </c>
      <c r="GUA134" t="s">
        <v>61</v>
      </c>
      <c r="GUB134" t="s">
        <v>61</v>
      </c>
      <c r="GUC134" t="s">
        <v>61</v>
      </c>
      <c r="GUD134" t="s">
        <v>61</v>
      </c>
      <c r="GUE134" t="s">
        <v>61</v>
      </c>
      <c r="GUF134" t="s">
        <v>61</v>
      </c>
      <c r="GUG134" t="s">
        <v>61</v>
      </c>
      <c r="GUH134" t="s">
        <v>61</v>
      </c>
      <c r="GUI134" t="s">
        <v>61</v>
      </c>
      <c r="GUJ134" t="s">
        <v>61</v>
      </c>
      <c r="GUK134" t="s">
        <v>61</v>
      </c>
      <c r="GUL134" t="s">
        <v>61</v>
      </c>
      <c r="GUM134" t="s">
        <v>61</v>
      </c>
      <c r="GUN134" t="s">
        <v>61</v>
      </c>
      <c r="GUO134" t="s">
        <v>61</v>
      </c>
      <c r="GUP134" t="s">
        <v>61</v>
      </c>
      <c r="GUQ134" t="s">
        <v>61</v>
      </c>
      <c r="GUR134" t="s">
        <v>61</v>
      </c>
      <c r="GUS134" t="s">
        <v>61</v>
      </c>
      <c r="GUT134" t="s">
        <v>61</v>
      </c>
      <c r="GUU134" t="s">
        <v>61</v>
      </c>
      <c r="GUV134" t="s">
        <v>61</v>
      </c>
      <c r="GUW134" t="s">
        <v>61</v>
      </c>
      <c r="GUX134" t="s">
        <v>61</v>
      </c>
      <c r="GUY134" t="s">
        <v>61</v>
      </c>
      <c r="GUZ134" t="s">
        <v>61</v>
      </c>
      <c r="GVA134" t="s">
        <v>61</v>
      </c>
      <c r="GVB134" t="s">
        <v>61</v>
      </c>
      <c r="GVC134" t="s">
        <v>61</v>
      </c>
      <c r="GVD134" t="s">
        <v>61</v>
      </c>
      <c r="GVE134" t="s">
        <v>61</v>
      </c>
      <c r="GVF134" t="s">
        <v>61</v>
      </c>
      <c r="GVG134" t="s">
        <v>61</v>
      </c>
      <c r="GVH134" t="s">
        <v>61</v>
      </c>
      <c r="GVI134" t="s">
        <v>61</v>
      </c>
      <c r="GVJ134" t="s">
        <v>61</v>
      </c>
      <c r="GVK134" t="s">
        <v>61</v>
      </c>
      <c r="GVL134" t="s">
        <v>61</v>
      </c>
      <c r="GVM134" t="s">
        <v>61</v>
      </c>
      <c r="GVN134" t="s">
        <v>61</v>
      </c>
      <c r="GVO134" t="s">
        <v>61</v>
      </c>
      <c r="GVP134" t="s">
        <v>61</v>
      </c>
      <c r="GVQ134" t="s">
        <v>61</v>
      </c>
      <c r="GVR134" t="s">
        <v>61</v>
      </c>
      <c r="GVS134" t="s">
        <v>61</v>
      </c>
      <c r="GVT134" t="s">
        <v>61</v>
      </c>
      <c r="GVU134" t="s">
        <v>61</v>
      </c>
      <c r="GVV134" t="s">
        <v>61</v>
      </c>
      <c r="GVW134" t="s">
        <v>61</v>
      </c>
      <c r="GVX134" t="s">
        <v>61</v>
      </c>
      <c r="GVY134" t="s">
        <v>61</v>
      </c>
      <c r="GVZ134" t="s">
        <v>61</v>
      </c>
      <c r="GWA134" t="s">
        <v>61</v>
      </c>
      <c r="GWB134" t="s">
        <v>61</v>
      </c>
      <c r="GWC134" t="s">
        <v>61</v>
      </c>
      <c r="GWD134" t="s">
        <v>61</v>
      </c>
      <c r="GWE134" t="s">
        <v>61</v>
      </c>
      <c r="GWF134" t="s">
        <v>61</v>
      </c>
      <c r="GWG134" t="s">
        <v>61</v>
      </c>
      <c r="GWH134" t="s">
        <v>61</v>
      </c>
      <c r="GWI134" t="s">
        <v>61</v>
      </c>
      <c r="GWJ134" t="s">
        <v>61</v>
      </c>
      <c r="GWK134" t="s">
        <v>61</v>
      </c>
      <c r="GWL134" t="s">
        <v>61</v>
      </c>
      <c r="GWM134" t="s">
        <v>61</v>
      </c>
      <c r="GWN134" t="s">
        <v>61</v>
      </c>
      <c r="GWO134" t="s">
        <v>61</v>
      </c>
      <c r="GWP134" t="s">
        <v>61</v>
      </c>
      <c r="GWQ134" t="s">
        <v>61</v>
      </c>
      <c r="GWR134" t="s">
        <v>61</v>
      </c>
      <c r="GWS134" t="s">
        <v>61</v>
      </c>
      <c r="GWT134" t="s">
        <v>61</v>
      </c>
      <c r="GWU134" t="s">
        <v>61</v>
      </c>
      <c r="GWV134" t="s">
        <v>61</v>
      </c>
      <c r="GWW134" t="s">
        <v>61</v>
      </c>
      <c r="GWX134" t="s">
        <v>61</v>
      </c>
      <c r="GWY134" t="s">
        <v>61</v>
      </c>
      <c r="GWZ134" t="s">
        <v>61</v>
      </c>
      <c r="GXA134" t="s">
        <v>61</v>
      </c>
      <c r="GXB134" t="s">
        <v>61</v>
      </c>
      <c r="GXC134" t="s">
        <v>61</v>
      </c>
      <c r="GXD134" t="s">
        <v>61</v>
      </c>
      <c r="GXE134" t="s">
        <v>61</v>
      </c>
      <c r="GXF134" t="s">
        <v>61</v>
      </c>
      <c r="GXG134" t="s">
        <v>61</v>
      </c>
      <c r="GXH134" t="s">
        <v>61</v>
      </c>
      <c r="GXI134" t="s">
        <v>61</v>
      </c>
      <c r="GXJ134" t="s">
        <v>61</v>
      </c>
      <c r="GXK134" t="s">
        <v>61</v>
      </c>
      <c r="GXL134" t="s">
        <v>61</v>
      </c>
      <c r="GXM134" t="s">
        <v>61</v>
      </c>
      <c r="GXN134" t="s">
        <v>61</v>
      </c>
      <c r="GXO134" t="s">
        <v>61</v>
      </c>
      <c r="GXP134" t="s">
        <v>61</v>
      </c>
      <c r="GXQ134" t="s">
        <v>61</v>
      </c>
      <c r="GXR134" t="s">
        <v>61</v>
      </c>
      <c r="GXS134" t="s">
        <v>61</v>
      </c>
      <c r="GXT134" t="s">
        <v>61</v>
      </c>
      <c r="GXU134" t="s">
        <v>61</v>
      </c>
      <c r="GXV134" t="s">
        <v>61</v>
      </c>
      <c r="GXW134" t="s">
        <v>61</v>
      </c>
      <c r="GXX134" t="s">
        <v>61</v>
      </c>
      <c r="GXY134" t="s">
        <v>61</v>
      </c>
      <c r="GXZ134" t="s">
        <v>61</v>
      </c>
      <c r="GYA134" t="s">
        <v>61</v>
      </c>
      <c r="GYB134" t="s">
        <v>61</v>
      </c>
      <c r="GYC134" t="s">
        <v>61</v>
      </c>
      <c r="GYD134" t="s">
        <v>61</v>
      </c>
      <c r="GYE134" t="s">
        <v>61</v>
      </c>
      <c r="GYF134" t="s">
        <v>61</v>
      </c>
      <c r="GYG134" t="s">
        <v>61</v>
      </c>
      <c r="GYH134" t="s">
        <v>61</v>
      </c>
      <c r="GYI134" t="s">
        <v>61</v>
      </c>
      <c r="GYJ134" t="s">
        <v>61</v>
      </c>
      <c r="GYK134" t="s">
        <v>61</v>
      </c>
      <c r="GYL134" t="s">
        <v>61</v>
      </c>
      <c r="GYM134" t="s">
        <v>61</v>
      </c>
      <c r="GYN134" t="s">
        <v>61</v>
      </c>
      <c r="GYO134" t="s">
        <v>61</v>
      </c>
      <c r="GYP134" t="s">
        <v>61</v>
      </c>
      <c r="GYQ134" t="s">
        <v>61</v>
      </c>
      <c r="GYR134" t="s">
        <v>61</v>
      </c>
      <c r="GYS134" t="s">
        <v>61</v>
      </c>
      <c r="GYT134" t="s">
        <v>61</v>
      </c>
      <c r="GYU134" t="s">
        <v>61</v>
      </c>
      <c r="GYV134" t="s">
        <v>61</v>
      </c>
      <c r="GYW134" t="s">
        <v>61</v>
      </c>
      <c r="GYX134" t="s">
        <v>61</v>
      </c>
      <c r="GYY134" t="s">
        <v>61</v>
      </c>
      <c r="GYZ134" t="s">
        <v>61</v>
      </c>
      <c r="GZA134" t="s">
        <v>61</v>
      </c>
      <c r="GZB134" t="s">
        <v>61</v>
      </c>
      <c r="GZC134" t="s">
        <v>61</v>
      </c>
      <c r="GZD134" t="s">
        <v>61</v>
      </c>
      <c r="GZE134" t="s">
        <v>61</v>
      </c>
      <c r="GZF134" t="s">
        <v>61</v>
      </c>
      <c r="GZG134" t="s">
        <v>61</v>
      </c>
      <c r="GZH134" t="s">
        <v>61</v>
      </c>
      <c r="GZI134" t="s">
        <v>61</v>
      </c>
      <c r="GZJ134" t="s">
        <v>61</v>
      </c>
      <c r="GZK134" t="s">
        <v>61</v>
      </c>
      <c r="GZL134" t="s">
        <v>61</v>
      </c>
      <c r="GZM134" t="s">
        <v>61</v>
      </c>
      <c r="GZN134" t="s">
        <v>61</v>
      </c>
      <c r="GZO134" t="s">
        <v>61</v>
      </c>
      <c r="GZP134" t="s">
        <v>61</v>
      </c>
      <c r="GZQ134" t="s">
        <v>61</v>
      </c>
      <c r="GZR134" t="s">
        <v>61</v>
      </c>
      <c r="GZS134" t="s">
        <v>61</v>
      </c>
      <c r="GZT134" t="s">
        <v>61</v>
      </c>
      <c r="GZU134" t="s">
        <v>61</v>
      </c>
      <c r="GZV134" t="s">
        <v>61</v>
      </c>
      <c r="GZW134" t="s">
        <v>61</v>
      </c>
      <c r="GZX134" t="s">
        <v>61</v>
      </c>
      <c r="GZY134" t="s">
        <v>61</v>
      </c>
      <c r="GZZ134" t="s">
        <v>61</v>
      </c>
      <c r="HAA134" t="s">
        <v>61</v>
      </c>
      <c r="HAB134" t="s">
        <v>61</v>
      </c>
      <c r="HAC134" t="s">
        <v>61</v>
      </c>
      <c r="HAD134" t="s">
        <v>61</v>
      </c>
      <c r="HAE134" t="s">
        <v>61</v>
      </c>
      <c r="HAF134" t="s">
        <v>61</v>
      </c>
      <c r="HAG134" t="s">
        <v>61</v>
      </c>
      <c r="HAH134" t="s">
        <v>61</v>
      </c>
      <c r="HAI134" t="s">
        <v>61</v>
      </c>
      <c r="HAJ134" t="s">
        <v>61</v>
      </c>
      <c r="HAK134" t="s">
        <v>61</v>
      </c>
      <c r="HAL134" t="s">
        <v>61</v>
      </c>
      <c r="HAM134" t="s">
        <v>61</v>
      </c>
      <c r="HAN134" t="s">
        <v>61</v>
      </c>
      <c r="HAO134" t="s">
        <v>61</v>
      </c>
      <c r="HAP134" t="s">
        <v>61</v>
      </c>
      <c r="HAQ134" t="s">
        <v>61</v>
      </c>
      <c r="HAR134" t="s">
        <v>61</v>
      </c>
      <c r="HAS134" t="s">
        <v>61</v>
      </c>
      <c r="HAT134" t="s">
        <v>61</v>
      </c>
      <c r="HAU134" t="s">
        <v>61</v>
      </c>
      <c r="HAV134" t="s">
        <v>61</v>
      </c>
      <c r="HAW134" t="s">
        <v>61</v>
      </c>
      <c r="HAX134" t="s">
        <v>61</v>
      </c>
      <c r="HAY134" t="s">
        <v>61</v>
      </c>
      <c r="HAZ134" t="s">
        <v>61</v>
      </c>
      <c r="HBA134" t="s">
        <v>61</v>
      </c>
      <c r="HBB134" t="s">
        <v>61</v>
      </c>
      <c r="HBC134" t="s">
        <v>61</v>
      </c>
      <c r="HBD134" t="s">
        <v>61</v>
      </c>
      <c r="HBE134" t="s">
        <v>61</v>
      </c>
      <c r="HBF134" t="s">
        <v>61</v>
      </c>
      <c r="HBG134" t="s">
        <v>61</v>
      </c>
      <c r="HBH134" t="s">
        <v>61</v>
      </c>
      <c r="HBI134" t="s">
        <v>61</v>
      </c>
      <c r="HBJ134" t="s">
        <v>61</v>
      </c>
      <c r="HBK134" t="s">
        <v>61</v>
      </c>
      <c r="HBL134" t="s">
        <v>61</v>
      </c>
      <c r="HBM134" t="s">
        <v>61</v>
      </c>
      <c r="HBN134" t="s">
        <v>61</v>
      </c>
      <c r="HBO134" t="s">
        <v>61</v>
      </c>
      <c r="HBP134" t="s">
        <v>61</v>
      </c>
      <c r="HBQ134" t="s">
        <v>61</v>
      </c>
      <c r="HBR134" t="s">
        <v>61</v>
      </c>
      <c r="HBS134" t="s">
        <v>61</v>
      </c>
      <c r="HBT134" t="s">
        <v>61</v>
      </c>
      <c r="HBU134" t="s">
        <v>61</v>
      </c>
      <c r="HBV134" t="s">
        <v>61</v>
      </c>
      <c r="HBW134" t="s">
        <v>61</v>
      </c>
      <c r="HBX134" t="s">
        <v>61</v>
      </c>
      <c r="HBY134" t="s">
        <v>61</v>
      </c>
      <c r="HBZ134" t="s">
        <v>61</v>
      </c>
      <c r="HCA134" t="s">
        <v>61</v>
      </c>
      <c r="HCB134" t="s">
        <v>61</v>
      </c>
      <c r="HCC134" t="s">
        <v>61</v>
      </c>
      <c r="HCD134" t="s">
        <v>61</v>
      </c>
      <c r="HCE134" t="s">
        <v>61</v>
      </c>
      <c r="HCF134" t="s">
        <v>61</v>
      </c>
      <c r="HCG134" t="s">
        <v>61</v>
      </c>
      <c r="HCH134" t="s">
        <v>61</v>
      </c>
      <c r="HCI134" t="s">
        <v>61</v>
      </c>
      <c r="HCJ134" t="s">
        <v>61</v>
      </c>
      <c r="HCK134" t="s">
        <v>61</v>
      </c>
      <c r="HCL134" t="s">
        <v>61</v>
      </c>
      <c r="HCM134" t="s">
        <v>61</v>
      </c>
      <c r="HCN134" t="s">
        <v>61</v>
      </c>
      <c r="HCO134" t="s">
        <v>61</v>
      </c>
      <c r="HCP134" t="s">
        <v>61</v>
      </c>
      <c r="HCQ134" t="s">
        <v>61</v>
      </c>
      <c r="HCR134" t="s">
        <v>61</v>
      </c>
      <c r="HCS134" t="s">
        <v>61</v>
      </c>
      <c r="HCT134" t="s">
        <v>61</v>
      </c>
      <c r="HCU134" t="s">
        <v>61</v>
      </c>
      <c r="HCV134" t="s">
        <v>61</v>
      </c>
      <c r="HCW134" t="s">
        <v>61</v>
      </c>
      <c r="HCX134" t="s">
        <v>61</v>
      </c>
      <c r="HCY134" t="s">
        <v>61</v>
      </c>
      <c r="HCZ134" t="s">
        <v>61</v>
      </c>
      <c r="HDA134" t="s">
        <v>61</v>
      </c>
      <c r="HDB134" t="s">
        <v>61</v>
      </c>
      <c r="HDC134" t="s">
        <v>61</v>
      </c>
      <c r="HDD134" t="s">
        <v>61</v>
      </c>
      <c r="HDE134" t="s">
        <v>61</v>
      </c>
      <c r="HDF134" t="s">
        <v>61</v>
      </c>
      <c r="HDG134" t="s">
        <v>61</v>
      </c>
      <c r="HDH134" t="s">
        <v>61</v>
      </c>
      <c r="HDI134" t="s">
        <v>61</v>
      </c>
      <c r="HDJ134" t="s">
        <v>61</v>
      </c>
      <c r="HDK134" t="s">
        <v>61</v>
      </c>
      <c r="HDL134" t="s">
        <v>61</v>
      </c>
      <c r="HDM134" t="s">
        <v>61</v>
      </c>
      <c r="HDN134" t="s">
        <v>61</v>
      </c>
      <c r="HDO134" t="s">
        <v>61</v>
      </c>
      <c r="HDP134" t="s">
        <v>61</v>
      </c>
      <c r="HDQ134" t="s">
        <v>61</v>
      </c>
      <c r="HDR134" t="s">
        <v>61</v>
      </c>
      <c r="HDS134" t="s">
        <v>61</v>
      </c>
      <c r="HDT134" t="s">
        <v>61</v>
      </c>
      <c r="HDU134" t="s">
        <v>61</v>
      </c>
      <c r="HDV134" t="s">
        <v>61</v>
      </c>
      <c r="HDW134" t="s">
        <v>61</v>
      </c>
      <c r="HDX134" t="s">
        <v>61</v>
      </c>
      <c r="HDY134" t="s">
        <v>61</v>
      </c>
      <c r="HDZ134" t="s">
        <v>61</v>
      </c>
      <c r="HEA134" t="s">
        <v>61</v>
      </c>
      <c r="HEB134" t="s">
        <v>61</v>
      </c>
      <c r="HEC134" t="s">
        <v>61</v>
      </c>
      <c r="HED134" t="s">
        <v>61</v>
      </c>
      <c r="HEE134" t="s">
        <v>61</v>
      </c>
      <c r="HEF134" t="s">
        <v>61</v>
      </c>
      <c r="HEG134" t="s">
        <v>61</v>
      </c>
      <c r="HEH134" t="s">
        <v>61</v>
      </c>
      <c r="HEI134" t="s">
        <v>61</v>
      </c>
      <c r="HEJ134" t="s">
        <v>61</v>
      </c>
      <c r="HEK134" t="s">
        <v>61</v>
      </c>
      <c r="HEL134" t="s">
        <v>61</v>
      </c>
      <c r="HEM134" t="s">
        <v>61</v>
      </c>
      <c r="HEN134" t="s">
        <v>61</v>
      </c>
      <c r="HEO134" t="s">
        <v>61</v>
      </c>
      <c r="HEP134" t="s">
        <v>61</v>
      </c>
      <c r="HEQ134" t="s">
        <v>61</v>
      </c>
      <c r="HER134" t="s">
        <v>61</v>
      </c>
      <c r="HES134" t="s">
        <v>61</v>
      </c>
      <c r="HET134" t="s">
        <v>61</v>
      </c>
      <c r="HEU134" t="s">
        <v>61</v>
      </c>
      <c r="HEV134" t="s">
        <v>61</v>
      </c>
      <c r="HEW134" t="s">
        <v>61</v>
      </c>
      <c r="HEX134" t="s">
        <v>61</v>
      </c>
      <c r="HEY134" t="s">
        <v>61</v>
      </c>
      <c r="HEZ134" t="s">
        <v>61</v>
      </c>
      <c r="HFA134" t="s">
        <v>61</v>
      </c>
      <c r="HFB134" t="s">
        <v>61</v>
      </c>
      <c r="HFC134" t="s">
        <v>61</v>
      </c>
      <c r="HFD134" t="s">
        <v>61</v>
      </c>
      <c r="HFE134" t="s">
        <v>61</v>
      </c>
      <c r="HFF134" t="s">
        <v>61</v>
      </c>
      <c r="HFG134" t="s">
        <v>61</v>
      </c>
      <c r="HFH134" t="s">
        <v>61</v>
      </c>
      <c r="HFI134" t="s">
        <v>61</v>
      </c>
      <c r="HFJ134" t="s">
        <v>61</v>
      </c>
      <c r="HFK134" t="s">
        <v>61</v>
      </c>
      <c r="HFL134" t="s">
        <v>61</v>
      </c>
      <c r="HFM134" t="s">
        <v>61</v>
      </c>
      <c r="HFN134" t="s">
        <v>61</v>
      </c>
      <c r="HFO134" t="s">
        <v>61</v>
      </c>
      <c r="HFP134" t="s">
        <v>61</v>
      </c>
      <c r="HFQ134" t="s">
        <v>61</v>
      </c>
      <c r="HFR134" t="s">
        <v>61</v>
      </c>
      <c r="HFS134" t="s">
        <v>61</v>
      </c>
      <c r="HFT134" t="s">
        <v>61</v>
      </c>
      <c r="HFU134" t="s">
        <v>61</v>
      </c>
      <c r="HFV134" t="s">
        <v>61</v>
      </c>
      <c r="HFW134" t="s">
        <v>61</v>
      </c>
      <c r="HFX134" t="s">
        <v>61</v>
      </c>
      <c r="HFY134" t="s">
        <v>61</v>
      </c>
      <c r="HFZ134" t="s">
        <v>61</v>
      </c>
      <c r="HGA134" t="s">
        <v>61</v>
      </c>
      <c r="HGB134" t="s">
        <v>61</v>
      </c>
      <c r="HGC134" t="s">
        <v>61</v>
      </c>
      <c r="HGD134" t="s">
        <v>61</v>
      </c>
      <c r="HGE134" t="s">
        <v>61</v>
      </c>
      <c r="HGF134" t="s">
        <v>61</v>
      </c>
      <c r="HGG134" t="s">
        <v>61</v>
      </c>
      <c r="HGH134" t="s">
        <v>61</v>
      </c>
      <c r="HGI134" t="s">
        <v>61</v>
      </c>
      <c r="HGJ134" t="s">
        <v>61</v>
      </c>
      <c r="HGK134" t="s">
        <v>61</v>
      </c>
      <c r="HGL134" t="s">
        <v>61</v>
      </c>
      <c r="HGM134" t="s">
        <v>61</v>
      </c>
      <c r="HGN134" t="s">
        <v>61</v>
      </c>
      <c r="HGO134" t="s">
        <v>61</v>
      </c>
      <c r="HGP134" t="s">
        <v>61</v>
      </c>
      <c r="HGQ134" t="s">
        <v>61</v>
      </c>
      <c r="HGR134" t="s">
        <v>61</v>
      </c>
      <c r="HGS134" t="s">
        <v>61</v>
      </c>
      <c r="HGT134" t="s">
        <v>61</v>
      </c>
      <c r="HGU134" t="s">
        <v>61</v>
      </c>
      <c r="HGV134" t="s">
        <v>61</v>
      </c>
      <c r="HGW134" t="s">
        <v>61</v>
      </c>
      <c r="HGX134" t="s">
        <v>61</v>
      </c>
      <c r="HGY134" t="s">
        <v>61</v>
      </c>
      <c r="HGZ134" t="s">
        <v>61</v>
      </c>
      <c r="HHA134" t="s">
        <v>61</v>
      </c>
      <c r="HHB134" t="s">
        <v>61</v>
      </c>
      <c r="HHC134" t="s">
        <v>61</v>
      </c>
      <c r="HHD134" t="s">
        <v>61</v>
      </c>
      <c r="HHE134" t="s">
        <v>61</v>
      </c>
      <c r="HHF134" t="s">
        <v>61</v>
      </c>
      <c r="HHG134" t="s">
        <v>61</v>
      </c>
      <c r="HHH134" t="s">
        <v>61</v>
      </c>
      <c r="HHI134" t="s">
        <v>61</v>
      </c>
      <c r="HHJ134" t="s">
        <v>61</v>
      </c>
      <c r="HHK134" t="s">
        <v>61</v>
      </c>
      <c r="HHL134" t="s">
        <v>61</v>
      </c>
      <c r="HHM134" t="s">
        <v>61</v>
      </c>
      <c r="HHN134" t="s">
        <v>61</v>
      </c>
      <c r="HHO134" t="s">
        <v>61</v>
      </c>
      <c r="HHP134" t="s">
        <v>61</v>
      </c>
      <c r="HHQ134" t="s">
        <v>61</v>
      </c>
      <c r="HHR134" t="s">
        <v>61</v>
      </c>
      <c r="HHS134" t="s">
        <v>61</v>
      </c>
      <c r="HHT134" t="s">
        <v>61</v>
      </c>
      <c r="HHU134" t="s">
        <v>61</v>
      </c>
      <c r="HHV134" t="s">
        <v>61</v>
      </c>
      <c r="HHW134" t="s">
        <v>61</v>
      </c>
      <c r="HHX134" t="s">
        <v>61</v>
      </c>
      <c r="HHY134" t="s">
        <v>61</v>
      </c>
      <c r="HHZ134" t="s">
        <v>61</v>
      </c>
      <c r="HIA134" t="s">
        <v>61</v>
      </c>
      <c r="HIB134" t="s">
        <v>61</v>
      </c>
      <c r="HIC134" t="s">
        <v>61</v>
      </c>
      <c r="HID134" t="s">
        <v>61</v>
      </c>
      <c r="HIE134" t="s">
        <v>61</v>
      </c>
      <c r="HIF134" t="s">
        <v>61</v>
      </c>
      <c r="HIG134" t="s">
        <v>61</v>
      </c>
      <c r="HIH134" t="s">
        <v>61</v>
      </c>
      <c r="HII134" t="s">
        <v>61</v>
      </c>
      <c r="HIJ134" t="s">
        <v>61</v>
      </c>
      <c r="HIK134" t="s">
        <v>61</v>
      </c>
      <c r="HIL134" t="s">
        <v>61</v>
      </c>
      <c r="HIM134" t="s">
        <v>61</v>
      </c>
      <c r="HIN134" t="s">
        <v>61</v>
      </c>
      <c r="HIO134" t="s">
        <v>61</v>
      </c>
      <c r="HIP134" t="s">
        <v>61</v>
      </c>
      <c r="HIQ134" t="s">
        <v>61</v>
      </c>
      <c r="HIR134" t="s">
        <v>61</v>
      </c>
      <c r="HIS134" t="s">
        <v>61</v>
      </c>
      <c r="HIT134" t="s">
        <v>61</v>
      </c>
      <c r="HIU134" t="s">
        <v>61</v>
      </c>
      <c r="HIV134" t="s">
        <v>61</v>
      </c>
      <c r="HIW134" t="s">
        <v>61</v>
      </c>
      <c r="HIX134" t="s">
        <v>61</v>
      </c>
      <c r="HIY134" t="s">
        <v>61</v>
      </c>
      <c r="HIZ134" t="s">
        <v>61</v>
      </c>
      <c r="HJA134" t="s">
        <v>61</v>
      </c>
      <c r="HJB134" t="s">
        <v>61</v>
      </c>
      <c r="HJC134" t="s">
        <v>61</v>
      </c>
      <c r="HJD134" t="s">
        <v>61</v>
      </c>
      <c r="HJE134" t="s">
        <v>61</v>
      </c>
      <c r="HJF134" t="s">
        <v>61</v>
      </c>
      <c r="HJG134" t="s">
        <v>61</v>
      </c>
      <c r="HJH134" t="s">
        <v>61</v>
      </c>
      <c r="HJI134" t="s">
        <v>61</v>
      </c>
      <c r="HJJ134" t="s">
        <v>61</v>
      </c>
      <c r="HJK134" t="s">
        <v>61</v>
      </c>
      <c r="HJL134" t="s">
        <v>61</v>
      </c>
      <c r="HJM134" t="s">
        <v>61</v>
      </c>
      <c r="HJN134" t="s">
        <v>61</v>
      </c>
      <c r="HJO134" t="s">
        <v>61</v>
      </c>
      <c r="HJP134" t="s">
        <v>61</v>
      </c>
      <c r="HJQ134" t="s">
        <v>61</v>
      </c>
      <c r="HJR134" t="s">
        <v>61</v>
      </c>
      <c r="HJS134" t="s">
        <v>61</v>
      </c>
      <c r="HJT134" t="s">
        <v>61</v>
      </c>
      <c r="HJU134" t="s">
        <v>61</v>
      </c>
      <c r="HJV134" t="s">
        <v>61</v>
      </c>
      <c r="HJW134" t="s">
        <v>61</v>
      </c>
      <c r="HJX134" t="s">
        <v>61</v>
      </c>
      <c r="HJY134" t="s">
        <v>61</v>
      </c>
      <c r="HJZ134" t="s">
        <v>61</v>
      </c>
      <c r="HKA134" t="s">
        <v>61</v>
      </c>
      <c r="HKB134" t="s">
        <v>61</v>
      </c>
      <c r="HKC134" t="s">
        <v>61</v>
      </c>
      <c r="HKD134" t="s">
        <v>61</v>
      </c>
      <c r="HKE134" t="s">
        <v>61</v>
      </c>
      <c r="HKF134" t="s">
        <v>61</v>
      </c>
      <c r="HKG134" t="s">
        <v>61</v>
      </c>
      <c r="HKH134" t="s">
        <v>61</v>
      </c>
      <c r="HKI134" t="s">
        <v>61</v>
      </c>
      <c r="HKJ134" t="s">
        <v>61</v>
      </c>
      <c r="HKK134" t="s">
        <v>61</v>
      </c>
      <c r="HKL134" t="s">
        <v>61</v>
      </c>
      <c r="HKM134" t="s">
        <v>61</v>
      </c>
      <c r="HKN134" t="s">
        <v>61</v>
      </c>
      <c r="HKO134" t="s">
        <v>61</v>
      </c>
      <c r="HKP134" t="s">
        <v>61</v>
      </c>
      <c r="HKQ134" t="s">
        <v>61</v>
      </c>
      <c r="HKR134" t="s">
        <v>61</v>
      </c>
      <c r="HKS134" t="s">
        <v>61</v>
      </c>
      <c r="HKT134" t="s">
        <v>61</v>
      </c>
      <c r="HKU134" t="s">
        <v>61</v>
      </c>
      <c r="HKV134" t="s">
        <v>61</v>
      </c>
      <c r="HKW134" t="s">
        <v>61</v>
      </c>
      <c r="HKX134" t="s">
        <v>61</v>
      </c>
      <c r="HKY134" t="s">
        <v>61</v>
      </c>
      <c r="HKZ134" t="s">
        <v>61</v>
      </c>
      <c r="HLA134" t="s">
        <v>61</v>
      </c>
      <c r="HLB134" t="s">
        <v>61</v>
      </c>
      <c r="HLC134" t="s">
        <v>61</v>
      </c>
      <c r="HLD134" t="s">
        <v>61</v>
      </c>
      <c r="HLE134" t="s">
        <v>61</v>
      </c>
      <c r="HLF134" t="s">
        <v>61</v>
      </c>
      <c r="HLG134" t="s">
        <v>61</v>
      </c>
      <c r="HLH134" t="s">
        <v>61</v>
      </c>
      <c r="HLI134" t="s">
        <v>61</v>
      </c>
      <c r="HLJ134" t="s">
        <v>61</v>
      </c>
      <c r="HLK134" t="s">
        <v>61</v>
      </c>
      <c r="HLL134" t="s">
        <v>61</v>
      </c>
      <c r="HLM134" t="s">
        <v>61</v>
      </c>
      <c r="HLN134" t="s">
        <v>61</v>
      </c>
      <c r="HLO134" t="s">
        <v>61</v>
      </c>
      <c r="HLP134" t="s">
        <v>61</v>
      </c>
      <c r="HLQ134" t="s">
        <v>61</v>
      </c>
      <c r="HLR134" t="s">
        <v>61</v>
      </c>
      <c r="HLS134" t="s">
        <v>61</v>
      </c>
      <c r="HLT134" t="s">
        <v>61</v>
      </c>
      <c r="HLU134" t="s">
        <v>61</v>
      </c>
      <c r="HLV134" t="s">
        <v>61</v>
      </c>
      <c r="HLW134" t="s">
        <v>61</v>
      </c>
      <c r="HLX134" t="s">
        <v>61</v>
      </c>
      <c r="HLY134" t="s">
        <v>61</v>
      </c>
      <c r="HLZ134" t="s">
        <v>61</v>
      </c>
      <c r="HMA134" t="s">
        <v>61</v>
      </c>
      <c r="HMB134" t="s">
        <v>61</v>
      </c>
      <c r="HMC134" t="s">
        <v>61</v>
      </c>
      <c r="HMD134" t="s">
        <v>61</v>
      </c>
      <c r="HME134" t="s">
        <v>61</v>
      </c>
      <c r="HMF134" t="s">
        <v>61</v>
      </c>
      <c r="HMG134" t="s">
        <v>61</v>
      </c>
      <c r="HMH134" t="s">
        <v>61</v>
      </c>
      <c r="HMI134" t="s">
        <v>61</v>
      </c>
      <c r="HMJ134" t="s">
        <v>61</v>
      </c>
      <c r="HMK134" t="s">
        <v>61</v>
      </c>
      <c r="HML134" t="s">
        <v>61</v>
      </c>
      <c r="HMM134" t="s">
        <v>61</v>
      </c>
      <c r="HMN134" t="s">
        <v>61</v>
      </c>
      <c r="HMO134" t="s">
        <v>61</v>
      </c>
      <c r="HMP134" t="s">
        <v>61</v>
      </c>
      <c r="HMQ134" t="s">
        <v>61</v>
      </c>
      <c r="HMR134" t="s">
        <v>61</v>
      </c>
      <c r="HMS134" t="s">
        <v>61</v>
      </c>
      <c r="HMT134" t="s">
        <v>61</v>
      </c>
      <c r="HMU134" t="s">
        <v>61</v>
      </c>
      <c r="HMV134" t="s">
        <v>61</v>
      </c>
      <c r="HMW134" t="s">
        <v>61</v>
      </c>
      <c r="HMX134" t="s">
        <v>61</v>
      </c>
      <c r="HMY134" t="s">
        <v>61</v>
      </c>
      <c r="HMZ134" t="s">
        <v>61</v>
      </c>
      <c r="HNA134" t="s">
        <v>61</v>
      </c>
      <c r="HNB134" t="s">
        <v>61</v>
      </c>
      <c r="HNC134" t="s">
        <v>61</v>
      </c>
      <c r="HND134" t="s">
        <v>61</v>
      </c>
      <c r="HNE134" t="s">
        <v>61</v>
      </c>
      <c r="HNF134" t="s">
        <v>61</v>
      </c>
      <c r="HNG134" t="s">
        <v>61</v>
      </c>
      <c r="HNH134" t="s">
        <v>61</v>
      </c>
      <c r="HNI134" t="s">
        <v>61</v>
      </c>
      <c r="HNJ134" t="s">
        <v>61</v>
      </c>
      <c r="HNK134" t="s">
        <v>61</v>
      </c>
      <c r="HNL134" t="s">
        <v>61</v>
      </c>
      <c r="HNM134" t="s">
        <v>61</v>
      </c>
      <c r="HNN134" t="s">
        <v>61</v>
      </c>
      <c r="HNO134" t="s">
        <v>61</v>
      </c>
      <c r="HNP134" t="s">
        <v>61</v>
      </c>
      <c r="HNQ134" t="s">
        <v>61</v>
      </c>
      <c r="HNR134" t="s">
        <v>61</v>
      </c>
      <c r="HNS134" t="s">
        <v>61</v>
      </c>
      <c r="HNT134" t="s">
        <v>61</v>
      </c>
      <c r="HNU134" t="s">
        <v>61</v>
      </c>
      <c r="HNV134" t="s">
        <v>61</v>
      </c>
      <c r="HNW134" t="s">
        <v>61</v>
      </c>
      <c r="HNX134" t="s">
        <v>61</v>
      </c>
      <c r="HNY134" t="s">
        <v>61</v>
      </c>
      <c r="HNZ134" t="s">
        <v>61</v>
      </c>
      <c r="HOA134" t="s">
        <v>61</v>
      </c>
      <c r="HOB134" t="s">
        <v>61</v>
      </c>
      <c r="HOC134" t="s">
        <v>61</v>
      </c>
      <c r="HOD134" t="s">
        <v>61</v>
      </c>
      <c r="HOE134" t="s">
        <v>61</v>
      </c>
      <c r="HOF134" t="s">
        <v>61</v>
      </c>
      <c r="HOG134" t="s">
        <v>61</v>
      </c>
      <c r="HOH134" t="s">
        <v>61</v>
      </c>
      <c r="HOI134" t="s">
        <v>61</v>
      </c>
      <c r="HOJ134" t="s">
        <v>61</v>
      </c>
      <c r="HOK134" t="s">
        <v>61</v>
      </c>
      <c r="HOL134" t="s">
        <v>61</v>
      </c>
      <c r="HOM134" t="s">
        <v>61</v>
      </c>
      <c r="HON134" t="s">
        <v>61</v>
      </c>
      <c r="HOO134" t="s">
        <v>61</v>
      </c>
      <c r="HOP134" t="s">
        <v>61</v>
      </c>
      <c r="HOQ134" t="s">
        <v>61</v>
      </c>
      <c r="HOR134" t="s">
        <v>61</v>
      </c>
      <c r="HOS134" t="s">
        <v>61</v>
      </c>
      <c r="HOT134" t="s">
        <v>61</v>
      </c>
      <c r="HOU134" t="s">
        <v>61</v>
      </c>
      <c r="HOV134" t="s">
        <v>61</v>
      </c>
      <c r="HOW134" t="s">
        <v>61</v>
      </c>
      <c r="HOX134" t="s">
        <v>61</v>
      </c>
      <c r="HOY134" t="s">
        <v>61</v>
      </c>
      <c r="HOZ134" t="s">
        <v>61</v>
      </c>
      <c r="HPA134" t="s">
        <v>61</v>
      </c>
      <c r="HPB134" t="s">
        <v>61</v>
      </c>
      <c r="HPC134" t="s">
        <v>61</v>
      </c>
      <c r="HPD134" t="s">
        <v>61</v>
      </c>
      <c r="HPE134" t="s">
        <v>61</v>
      </c>
      <c r="HPF134" t="s">
        <v>61</v>
      </c>
      <c r="HPG134" t="s">
        <v>61</v>
      </c>
      <c r="HPH134" t="s">
        <v>61</v>
      </c>
      <c r="HPI134" t="s">
        <v>61</v>
      </c>
      <c r="HPJ134" t="s">
        <v>61</v>
      </c>
      <c r="HPK134" t="s">
        <v>61</v>
      </c>
      <c r="HPL134" t="s">
        <v>61</v>
      </c>
      <c r="HPM134" t="s">
        <v>61</v>
      </c>
      <c r="HPN134" t="s">
        <v>61</v>
      </c>
      <c r="HPO134" t="s">
        <v>61</v>
      </c>
      <c r="HPP134" t="s">
        <v>61</v>
      </c>
      <c r="HPQ134" t="s">
        <v>61</v>
      </c>
      <c r="HPR134" t="s">
        <v>61</v>
      </c>
      <c r="HPS134" t="s">
        <v>61</v>
      </c>
      <c r="HPT134" t="s">
        <v>61</v>
      </c>
      <c r="HPU134" t="s">
        <v>61</v>
      </c>
      <c r="HPV134" t="s">
        <v>61</v>
      </c>
      <c r="HPW134" t="s">
        <v>61</v>
      </c>
      <c r="HPX134" t="s">
        <v>61</v>
      </c>
      <c r="HPY134" t="s">
        <v>61</v>
      </c>
      <c r="HPZ134" t="s">
        <v>61</v>
      </c>
      <c r="HQA134" t="s">
        <v>61</v>
      </c>
      <c r="HQB134" t="s">
        <v>61</v>
      </c>
      <c r="HQC134" t="s">
        <v>61</v>
      </c>
      <c r="HQD134" t="s">
        <v>61</v>
      </c>
      <c r="HQE134" t="s">
        <v>61</v>
      </c>
      <c r="HQF134" t="s">
        <v>61</v>
      </c>
      <c r="HQG134" t="s">
        <v>61</v>
      </c>
      <c r="HQH134" t="s">
        <v>61</v>
      </c>
      <c r="HQI134" t="s">
        <v>61</v>
      </c>
      <c r="HQJ134" t="s">
        <v>61</v>
      </c>
      <c r="HQK134" t="s">
        <v>61</v>
      </c>
      <c r="HQL134" t="s">
        <v>61</v>
      </c>
      <c r="HQM134" t="s">
        <v>61</v>
      </c>
      <c r="HQN134" t="s">
        <v>61</v>
      </c>
      <c r="HQO134" t="s">
        <v>61</v>
      </c>
      <c r="HQP134" t="s">
        <v>61</v>
      </c>
      <c r="HQQ134" t="s">
        <v>61</v>
      </c>
      <c r="HQR134" t="s">
        <v>61</v>
      </c>
      <c r="HQS134" t="s">
        <v>61</v>
      </c>
      <c r="HQT134" t="s">
        <v>61</v>
      </c>
      <c r="HQU134" t="s">
        <v>61</v>
      </c>
      <c r="HQV134" t="s">
        <v>61</v>
      </c>
      <c r="HQW134" t="s">
        <v>61</v>
      </c>
      <c r="HQX134" t="s">
        <v>61</v>
      </c>
      <c r="HQY134" t="s">
        <v>61</v>
      </c>
      <c r="HQZ134" t="s">
        <v>61</v>
      </c>
      <c r="HRA134" t="s">
        <v>61</v>
      </c>
      <c r="HRB134" t="s">
        <v>61</v>
      </c>
      <c r="HRC134" t="s">
        <v>61</v>
      </c>
      <c r="HRD134" t="s">
        <v>61</v>
      </c>
      <c r="HRE134" t="s">
        <v>61</v>
      </c>
      <c r="HRF134" t="s">
        <v>61</v>
      </c>
      <c r="HRG134" t="s">
        <v>61</v>
      </c>
      <c r="HRH134" t="s">
        <v>61</v>
      </c>
      <c r="HRI134" t="s">
        <v>61</v>
      </c>
      <c r="HRJ134" t="s">
        <v>61</v>
      </c>
      <c r="HRK134" t="s">
        <v>61</v>
      </c>
      <c r="HRL134" t="s">
        <v>61</v>
      </c>
      <c r="HRM134" t="s">
        <v>61</v>
      </c>
      <c r="HRN134" t="s">
        <v>61</v>
      </c>
      <c r="HRO134" t="s">
        <v>61</v>
      </c>
      <c r="HRP134" t="s">
        <v>61</v>
      </c>
      <c r="HRQ134" t="s">
        <v>61</v>
      </c>
      <c r="HRR134" t="s">
        <v>61</v>
      </c>
      <c r="HRS134" t="s">
        <v>61</v>
      </c>
      <c r="HRT134" t="s">
        <v>61</v>
      </c>
      <c r="HRU134" t="s">
        <v>61</v>
      </c>
      <c r="HRV134" t="s">
        <v>61</v>
      </c>
      <c r="HRW134" t="s">
        <v>61</v>
      </c>
      <c r="HRX134" t="s">
        <v>61</v>
      </c>
      <c r="HRY134" t="s">
        <v>61</v>
      </c>
      <c r="HRZ134" t="s">
        <v>61</v>
      </c>
      <c r="HSA134" t="s">
        <v>61</v>
      </c>
      <c r="HSB134" t="s">
        <v>61</v>
      </c>
      <c r="HSC134" t="s">
        <v>61</v>
      </c>
      <c r="HSD134" t="s">
        <v>61</v>
      </c>
      <c r="HSE134" t="s">
        <v>61</v>
      </c>
      <c r="HSF134" t="s">
        <v>61</v>
      </c>
      <c r="HSG134" t="s">
        <v>61</v>
      </c>
      <c r="HSH134" t="s">
        <v>61</v>
      </c>
      <c r="HSI134" t="s">
        <v>61</v>
      </c>
      <c r="HSJ134" t="s">
        <v>61</v>
      </c>
      <c r="HSK134" t="s">
        <v>61</v>
      </c>
      <c r="HSL134" t="s">
        <v>61</v>
      </c>
      <c r="HSM134" t="s">
        <v>61</v>
      </c>
      <c r="HSN134" t="s">
        <v>61</v>
      </c>
      <c r="HSO134" t="s">
        <v>61</v>
      </c>
      <c r="HSP134" t="s">
        <v>61</v>
      </c>
      <c r="HSQ134" t="s">
        <v>61</v>
      </c>
      <c r="HSR134" t="s">
        <v>61</v>
      </c>
      <c r="HSS134" t="s">
        <v>61</v>
      </c>
      <c r="HST134" t="s">
        <v>61</v>
      </c>
      <c r="HSU134" t="s">
        <v>61</v>
      </c>
      <c r="HSV134" t="s">
        <v>61</v>
      </c>
      <c r="HSW134" t="s">
        <v>61</v>
      </c>
      <c r="HSX134" t="s">
        <v>61</v>
      </c>
      <c r="HSY134" t="s">
        <v>61</v>
      </c>
      <c r="HSZ134" t="s">
        <v>61</v>
      </c>
      <c r="HTA134" t="s">
        <v>61</v>
      </c>
      <c r="HTB134" t="s">
        <v>61</v>
      </c>
      <c r="HTC134" t="s">
        <v>61</v>
      </c>
      <c r="HTD134" t="s">
        <v>61</v>
      </c>
      <c r="HTE134" t="s">
        <v>61</v>
      </c>
      <c r="HTF134" t="s">
        <v>61</v>
      </c>
      <c r="HTG134" t="s">
        <v>61</v>
      </c>
      <c r="HTH134" t="s">
        <v>61</v>
      </c>
      <c r="HTI134" t="s">
        <v>61</v>
      </c>
      <c r="HTJ134" t="s">
        <v>61</v>
      </c>
      <c r="HTK134" t="s">
        <v>61</v>
      </c>
      <c r="HTL134" t="s">
        <v>61</v>
      </c>
      <c r="HTM134" t="s">
        <v>61</v>
      </c>
      <c r="HTN134" t="s">
        <v>61</v>
      </c>
      <c r="HTO134" t="s">
        <v>61</v>
      </c>
      <c r="HTP134" t="s">
        <v>61</v>
      </c>
      <c r="HTQ134" t="s">
        <v>61</v>
      </c>
      <c r="HTR134" t="s">
        <v>61</v>
      </c>
      <c r="HTS134" t="s">
        <v>61</v>
      </c>
      <c r="HTT134" t="s">
        <v>61</v>
      </c>
      <c r="HTU134" t="s">
        <v>61</v>
      </c>
      <c r="HTV134" t="s">
        <v>61</v>
      </c>
      <c r="HTW134" t="s">
        <v>61</v>
      </c>
      <c r="HTX134" t="s">
        <v>61</v>
      </c>
      <c r="HTY134" t="s">
        <v>61</v>
      </c>
      <c r="HTZ134" t="s">
        <v>61</v>
      </c>
      <c r="HUA134" t="s">
        <v>61</v>
      </c>
      <c r="HUB134" t="s">
        <v>61</v>
      </c>
      <c r="HUC134" t="s">
        <v>61</v>
      </c>
      <c r="HUD134" t="s">
        <v>61</v>
      </c>
      <c r="HUE134" t="s">
        <v>61</v>
      </c>
      <c r="HUF134" t="s">
        <v>61</v>
      </c>
      <c r="HUG134" t="s">
        <v>61</v>
      </c>
      <c r="HUH134" t="s">
        <v>61</v>
      </c>
      <c r="HUI134" t="s">
        <v>61</v>
      </c>
      <c r="HUJ134" t="s">
        <v>61</v>
      </c>
      <c r="HUK134" t="s">
        <v>61</v>
      </c>
      <c r="HUL134" t="s">
        <v>61</v>
      </c>
      <c r="HUM134" t="s">
        <v>61</v>
      </c>
      <c r="HUN134" t="s">
        <v>61</v>
      </c>
      <c r="HUO134" t="s">
        <v>61</v>
      </c>
      <c r="HUP134" t="s">
        <v>61</v>
      </c>
      <c r="HUQ134" t="s">
        <v>61</v>
      </c>
      <c r="HUR134" t="s">
        <v>61</v>
      </c>
      <c r="HUS134" t="s">
        <v>61</v>
      </c>
      <c r="HUT134" t="s">
        <v>61</v>
      </c>
      <c r="HUU134" t="s">
        <v>61</v>
      </c>
      <c r="HUV134" t="s">
        <v>61</v>
      </c>
      <c r="HUW134" t="s">
        <v>61</v>
      </c>
      <c r="HUX134" t="s">
        <v>61</v>
      </c>
      <c r="HUY134" t="s">
        <v>61</v>
      </c>
      <c r="HUZ134" t="s">
        <v>61</v>
      </c>
      <c r="HVA134" t="s">
        <v>61</v>
      </c>
      <c r="HVB134" t="s">
        <v>61</v>
      </c>
      <c r="HVC134" t="s">
        <v>61</v>
      </c>
      <c r="HVD134" t="s">
        <v>61</v>
      </c>
      <c r="HVE134" t="s">
        <v>61</v>
      </c>
      <c r="HVF134" t="s">
        <v>61</v>
      </c>
      <c r="HVG134" t="s">
        <v>61</v>
      </c>
      <c r="HVH134" t="s">
        <v>61</v>
      </c>
      <c r="HVI134" t="s">
        <v>61</v>
      </c>
      <c r="HVJ134" t="s">
        <v>61</v>
      </c>
      <c r="HVK134" t="s">
        <v>61</v>
      </c>
      <c r="HVL134" t="s">
        <v>61</v>
      </c>
      <c r="HVM134" t="s">
        <v>61</v>
      </c>
      <c r="HVN134" t="s">
        <v>61</v>
      </c>
      <c r="HVO134" t="s">
        <v>61</v>
      </c>
      <c r="HVP134" t="s">
        <v>61</v>
      </c>
      <c r="HVQ134" t="s">
        <v>61</v>
      </c>
      <c r="HVR134" t="s">
        <v>61</v>
      </c>
      <c r="HVS134" t="s">
        <v>61</v>
      </c>
      <c r="HVT134" t="s">
        <v>61</v>
      </c>
      <c r="HVU134" t="s">
        <v>61</v>
      </c>
      <c r="HVV134" t="s">
        <v>61</v>
      </c>
      <c r="HVW134" t="s">
        <v>61</v>
      </c>
      <c r="HVX134" t="s">
        <v>61</v>
      </c>
      <c r="HVY134" t="s">
        <v>61</v>
      </c>
      <c r="HVZ134" t="s">
        <v>61</v>
      </c>
      <c r="HWA134" t="s">
        <v>61</v>
      </c>
      <c r="HWB134" t="s">
        <v>61</v>
      </c>
      <c r="HWC134" t="s">
        <v>61</v>
      </c>
      <c r="HWD134" t="s">
        <v>61</v>
      </c>
      <c r="HWE134" t="s">
        <v>61</v>
      </c>
      <c r="HWF134" t="s">
        <v>61</v>
      </c>
      <c r="HWG134" t="s">
        <v>61</v>
      </c>
      <c r="HWH134" t="s">
        <v>61</v>
      </c>
      <c r="HWI134" t="s">
        <v>61</v>
      </c>
      <c r="HWJ134" t="s">
        <v>61</v>
      </c>
      <c r="HWK134" t="s">
        <v>61</v>
      </c>
      <c r="HWL134" t="s">
        <v>61</v>
      </c>
      <c r="HWM134" t="s">
        <v>61</v>
      </c>
      <c r="HWN134" t="s">
        <v>61</v>
      </c>
      <c r="HWO134" t="s">
        <v>61</v>
      </c>
      <c r="HWP134" t="s">
        <v>61</v>
      </c>
      <c r="HWQ134" t="s">
        <v>61</v>
      </c>
      <c r="HWR134" t="s">
        <v>61</v>
      </c>
      <c r="HWS134" t="s">
        <v>61</v>
      </c>
      <c r="HWT134" t="s">
        <v>61</v>
      </c>
      <c r="HWU134" t="s">
        <v>61</v>
      </c>
      <c r="HWV134" t="s">
        <v>61</v>
      </c>
      <c r="HWW134" t="s">
        <v>61</v>
      </c>
      <c r="HWX134" t="s">
        <v>61</v>
      </c>
      <c r="HWY134" t="s">
        <v>61</v>
      </c>
      <c r="HWZ134" t="s">
        <v>61</v>
      </c>
      <c r="HXA134" t="s">
        <v>61</v>
      </c>
      <c r="HXB134" t="s">
        <v>61</v>
      </c>
      <c r="HXC134" t="s">
        <v>61</v>
      </c>
      <c r="HXD134" t="s">
        <v>61</v>
      </c>
      <c r="HXE134" t="s">
        <v>61</v>
      </c>
      <c r="HXF134" t="s">
        <v>61</v>
      </c>
      <c r="HXG134" t="s">
        <v>61</v>
      </c>
      <c r="HXH134" t="s">
        <v>61</v>
      </c>
      <c r="HXI134" t="s">
        <v>61</v>
      </c>
      <c r="HXJ134" t="s">
        <v>61</v>
      </c>
      <c r="HXK134" t="s">
        <v>61</v>
      </c>
      <c r="HXL134" t="s">
        <v>61</v>
      </c>
      <c r="HXM134" t="s">
        <v>61</v>
      </c>
      <c r="HXN134" t="s">
        <v>61</v>
      </c>
      <c r="HXO134" t="s">
        <v>61</v>
      </c>
      <c r="HXP134" t="s">
        <v>61</v>
      </c>
      <c r="HXQ134" t="s">
        <v>61</v>
      </c>
      <c r="HXR134" t="s">
        <v>61</v>
      </c>
      <c r="HXS134" t="s">
        <v>61</v>
      </c>
      <c r="HXT134" t="s">
        <v>61</v>
      </c>
      <c r="HXU134" t="s">
        <v>61</v>
      </c>
      <c r="HXV134" t="s">
        <v>61</v>
      </c>
      <c r="HXW134" t="s">
        <v>61</v>
      </c>
      <c r="HXX134" t="s">
        <v>61</v>
      </c>
      <c r="HXY134" t="s">
        <v>61</v>
      </c>
      <c r="HXZ134" t="s">
        <v>61</v>
      </c>
      <c r="HYA134" t="s">
        <v>61</v>
      </c>
      <c r="HYB134" t="s">
        <v>61</v>
      </c>
      <c r="HYC134" t="s">
        <v>61</v>
      </c>
      <c r="HYD134" t="s">
        <v>61</v>
      </c>
      <c r="HYE134" t="s">
        <v>61</v>
      </c>
      <c r="HYF134" t="s">
        <v>61</v>
      </c>
      <c r="HYG134" t="s">
        <v>61</v>
      </c>
      <c r="HYH134" t="s">
        <v>61</v>
      </c>
      <c r="HYI134" t="s">
        <v>61</v>
      </c>
      <c r="HYJ134" t="s">
        <v>61</v>
      </c>
      <c r="HYK134" t="s">
        <v>61</v>
      </c>
      <c r="HYL134" t="s">
        <v>61</v>
      </c>
      <c r="HYM134" t="s">
        <v>61</v>
      </c>
      <c r="HYN134" t="s">
        <v>61</v>
      </c>
      <c r="HYO134" t="s">
        <v>61</v>
      </c>
      <c r="HYP134" t="s">
        <v>61</v>
      </c>
      <c r="HYQ134" t="s">
        <v>61</v>
      </c>
      <c r="HYR134" t="s">
        <v>61</v>
      </c>
      <c r="HYS134" t="s">
        <v>61</v>
      </c>
      <c r="HYT134" t="s">
        <v>61</v>
      </c>
      <c r="HYU134" t="s">
        <v>61</v>
      </c>
      <c r="HYV134" t="s">
        <v>61</v>
      </c>
      <c r="HYW134" t="s">
        <v>61</v>
      </c>
      <c r="HYX134" t="s">
        <v>61</v>
      </c>
      <c r="HYY134" t="s">
        <v>61</v>
      </c>
      <c r="HYZ134" t="s">
        <v>61</v>
      </c>
      <c r="HZA134" t="s">
        <v>61</v>
      </c>
      <c r="HZB134" t="s">
        <v>61</v>
      </c>
      <c r="HZC134" t="s">
        <v>61</v>
      </c>
      <c r="HZD134" t="s">
        <v>61</v>
      </c>
      <c r="HZE134" t="s">
        <v>61</v>
      </c>
      <c r="HZF134" t="s">
        <v>61</v>
      </c>
      <c r="HZG134" t="s">
        <v>61</v>
      </c>
      <c r="HZH134" t="s">
        <v>61</v>
      </c>
      <c r="HZI134" t="s">
        <v>61</v>
      </c>
      <c r="HZJ134" t="s">
        <v>61</v>
      </c>
      <c r="HZK134" t="s">
        <v>61</v>
      </c>
      <c r="HZL134" t="s">
        <v>61</v>
      </c>
      <c r="HZM134" t="s">
        <v>61</v>
      </c>
      <c r="HZN134" t="s">
        <v>61</v>
      </c>
      <c r="HZO134" t="s">
        <v>61</v>
      </c>
      <c r="HZP134" t="s">
        <v>61</v>
      </c>
      <c r="HZQ134" t="s">
        <v>61</v>
      </c>
      <c r="HZR134" t="s">
        <v>61</v>
      </c>
      <c r="HZS134" t="s">
        <v>61</v>
      </c>
      <c r="HZT134" t="s">
        <v>61</v>
      </c>
      <c r="HZU134" t="s">
        <v>61</v>
      </c>
      <c r="HZV134" t="s">
        <v>61</v>
      </c>
      <c r="HZW134" t="s">
        <v>61</v>
      </c>
      <c r="HZX134" t="s">
        <v>61</v>
      </c>
      <c r="HZY134" t="s">
        <v>61</v>
      </c>
      <c r="HZZ134" t="s">
        <v>61</v>
      </c>
      <c r="IAA134" t="s">
        <v>61</v>
      </c>
      <c r="IAB134" t="s">
        <v>61</v>
      </c>
      <c r="IAC134" t="s">
        <v>61</v>
      </c>
      <c r="IAD134" t="s">
        <v>61</v>
      </c>
      <c r="IAE134" t="s">
        <v>61</v>
      </c>
      <c r="IAF134" t="s">
        <v>61</v>
      </c>
      <c r="IAG134" t="s">
        <v>61</v>
      </c>
      <c r="IAH134" t="s">
        <v>61</v>
      </c>
      <c r="IAI134" t="s">
        <v>61</v>
      </c>
      <c r="IAJ134" t="s">
        <v>61</v>
      </c>
      <c r="IAK134" t="s">
        <v>61</v>
      </c>
      <c r="IAL134" t="s">
        <v>61</v>
      </c>
      <c r="IAM134" t="s">
        <v>61</v>
      </c>
      <c r="IAN134" t="s">
        <v>61</v>
      </c>
      <c r="IAO134" t="s">
        <v>61</v>
      </c>
      <c r="IAP134" t="s">
        <v>61</v>
      </c>
      <c r="IAQ134" t="s">
        <v>61</v>
      </c>
      <c r="IAR134" t="s">
        <v>61</v>
      </c>
      <c r="IAS134" t="s">
        <v>61</v>
      </c>
      <c r="IAT134" t="s">
        <v>61</v>
      </c>
      <c r="IAU134" t="s">
        <v>61</v>
      </c>
      <c r="IAV134" t="s">
        <v>61</v>
      </c>
      <c r="IAW134" t="s">
        <v>61</v>
      </c>
      <c r="IAX134" t="s">
        <v>61</v>
      </c>
      <c r="IAY134" t="s">
        <v>61</v>
      </c>
      <c r="IAZ134" t="s">
        <v>61</v>
      </c>
      <c r="IBA134" t="s">
        <v>61</v>
      </c>
      <c r="IBB134" t="s">
        <v>61</v>
      </c>
      <c r="IBC134" t="s">
        <v>61</v>
      </c>
      <c r="IBD134" t="s">
        <v>61</v>
      </c>
      <c r="IBE134" t="s">
        <v>61</v>
      </c>
      <c r="IBF134" t="s">
        <v>61</v>
      </c>
      <c r="IBG134" t="s">
        <v>61</v>
      </c>
      <c r="IBH134" t="s">
        <v>61</v>
      </c>
      <c r="IBI134" t="s">
        <v>61</v>
      </c>
      <c r="IBJ134" t="s">
        <v>61</v>
      </c>
      <c r="IBK134" t="s">
        <v>61</v>
      </c>
      <c r="IBL134" t="s">
        <v>61</v>
      </c>
      <c r="IBM134" t="s">
        <v>61</v>
      </c>
      <c r="IBN134" t="s">
        <v>61</v>
      </c>
      <c r="IBO134" t="s">
        <v>61</v>
      </c>
      <c r="IBP134" t="s">
        <v>61</v>
      </c>
      <c r="IBQ134" t="s">
        <v>61</v>
      </c>
      <c r="IBR134" t="s">
        <v>61</v>
      </c>
      <c r="IBS134" t="s">
        <v>61</v>
      </c>
      <c r="IBT134" t="s">
        <v>61</v>
      </c>
      <c r="IBU134" t="s">
        <v>61</v>
      </c>
      <c r="IBV134" t="s">
        <v>61</v>
      </c>
      <c r="IBW134" t="s">
        <v>61</v>
      </c>
      <c r="IBX134" t="s">
        <v>61</v>
      </c>
      <c r="IBY134" t="s">
        <v>61</v>
      </c>
      <c r="IBZ134" t="s">
        <v>61</v>
      </c>
      <c r="ICA134" t="s">
        <v>61</v>
      </c>
      <c r="ICB134" t="s">
        <v>61</v>
      </c>
      <c r="ICC134" t="s">
        <v>61</v>
      </c>
      <c r="ICD134" t="s">
        <v>61</v>
      </c>
      <c r="ICE134" t="s">
        <v>61</v>
      </c>
      <c r="ICF134" t="s">
        <v>61</v>
      </c>
      <c r="ICG134" t="s">
        <v>61</v>
      </c>
      <c r="ICH134" t="s">
        <v>61</v>
      </c>
      <c r="ICI134" t="s">
        <v>61</v>
      </c>
      <c r="ICJ134" t="s">
        <v>61</v>
      </c>
      <c r="ICK134" t="s">
        <v>61</v>
      </c>
      <c r="ICL134" t="s">
        <v>61</v>
      </c>
      <c r="ICM134" t="s">
        <v>61</v>
      </c>
      <c r="ICN134" t="s">
        <v>61</v>
      </c>
      <c r="ICO134" t="s">
        <v>61</v>
      </c>
      <c r="ICP134" t="s">
        <v>61</v>
      </c>
      <c r="ICQ134" t="s">
        <v>61</v>
      </c>
      <c r="ICR134" t="s">
        <v>61</v>
      </c>
      <c r="ICS134" t="s">
        <v>61</v>
      </c>
      <c r="ICT134" t="s">
        <v>61</v>
      </c>
      <c r="ICU134" t="s">
        <v>61</v>
      </c>
      <c r="ICV134" t="s">
        <v>61</v>
      </c>
      <c r="ICW134" t="s">
        <v>61</v>
      </c>
      <c r="ICX134" t="s">
        <v>61</v>
      </c>
      <c r="ICY134" t="s">
        <v>61</v>
      </c>
      <c r="ICZ134" t="s">
        <v>61</v>
      </c>
      <c r="IDA134" t="s">
        <v>61</v>
      </c>
      <c r="IDB134" t="s">
        <v>61</v>
      </c>
      <c r="IDC134" t="s">
        <v>61</v>
      </c>
      <c r="IDD134" t="s">
        <v>61</v>
      </c>
      <c r="IDE134" t="s">
        <v>61</v>
      </c>
      <c r="IDF134" t="s">
        <v>61</v>
      </c>
      <c r="IDG134" t="s">
        <v>61</v>
      </c>
      <c r="IDH134" t="s">
        <v>61</v>
      </c>
      <c r="IDI134" t="s">
        <v>61</v>
      </c>
      <c r="IDJ134" t="s">
        <v>61</v>
      </c>
      <c r="IDK134" t="s">
        <v>61</v>
      </c>
      <c r="IDL134" t="s">
        <v>61</v>
      </c>
      <c r="IDM134" t="s">
        <v>61</v>
      </c>
      <c r="IDN134" t="s">
        <v>61</v>
      </c>
      <c r="IDO134" t="s">
        <v>61</v>
      </c>
      <c r="IDP134" t="s">
        <v>61</v>
      </c>
      <c r="IDQ134" t="s">
        <v>61</v>
      </c>
      <c r="IDR134" t="s">
        <v>61</v>
      </c>
      <c r="IDS134" t="s">
        <v>61</v>
      </c>
      <c r="IDT134" t="s">
        <v>61</v>
      </c>
      <c r="IDU134" t="s">
        <v>61</v>
      </c>
      <c r="IDV134" t="s">
        <v>61</v>
      </c>
      <c r="IDW134" t="s">
        <v>61</v>
      </c>
      <c r="IDX134" t="s">
        <v>61</v>
      </c>
      <c r="IDY134" t="s">
        <v>61</v>
      </c>
      <c r="IDZ134" t="s">
        <v>61</v>
      </c>
      <c r="IEA134" t="s">
        <v>61</v>
      </c>
      <c r="IEB134" t="s">
        <v>61</v>
      </c>
      <c r="IEC134" t="s">
        <v>61</v>
      </c>
      <c r="IED134" t="s">
        <v>61</v>
      </c>
      <c r="IEE134" t="s">
        <v>61</v>
      </c>
      <c r="IEF134" t="s">
        <v>61</v>
      </c>
      <c r="IEG134" t="s">
        <v>61</v>
      </c>
      <c r="IEH134" t="s">
        <v>61</v>
      </c>
      <c r="IEI134" t="s">
        <v>61</v>
      </c>
      <c r="IEJ134" t="s">
        <v>61</v>
      </c>
      <c r="IEK134" t="s">
        <v>61</v>
      </c>
      <c r="IEL134" t="s">
        <v>61</v>
      </c>
      <c r="IEM134" t="s">
        <v>61</v>
      </c>
      <c r="IEN134" t="s">
        <v>61</v>
      </c>
      <c r="IEO134" t="s">
        <v>61</v>
      </c>
      <c r="IEP134" t="s">
        <v>61</v>
      </c>
      <c r="IEQ134" t="s">
        <v>61</v>
      </c>
      <c r="IER134" t="s">
        <v>61</v>
      </c>
      <c r="IES134" t="s">
        <v>61</v>
      </c>
      <c r="IET134" t="s">
        <v>61</v>
      </c>
      <c r="IEU134" t="s">
        <v>61</v>
      </c>
      <c r="IEV134" t="s">
        <v>61</v>
      </c>
      <c r="IEW134" t="s">
        <v>61</v>
      </c>
      <c r="IEX134" t="s">
        <v>61</v>
      </c>
      <c r="IEY134" t="s">
        <v>61</v>
      </c>
      <c r="IEZ134" t="s">
        <v>61</v>
      </c>
      <c r="IFA134" t="s">
        <v>61</v>
      </c>
      <c r="IFB134" t="s">
        <v>61</v>
      </c>
      <c r="IFC134" t="s">
        <v>61</v>
      </c>
      <c r="IFD134" t="s">
        <v>61</v>
      </c>
      <c r="IFE134" t="s">
        <v>61</v>
      </c>
      <c r="IFF134" t="s">
        <v>61</v>
      </c>
      <c r="IFG134" t="s">
        <v>61</v>
      </c>
      <c r="IFH134" t="s">
        <v>61</v>
      </c>
      <c r="IFI134" t="s">
        <v>61</v>
      </c>
      <c r="IFJ134" t="s">
        <v>61</v>
      </c>
      <c r="IFK134" t="s">
        <v>61</v>
      </c>
      <c r="IFL134" t="s">
        <v>61</v>
      </c>
      <c r="IFM134" t="s">
        <v>61</v>
      </c>
      <c r="IFN134" t="s">
        <v>61</v>
      </c>
      <c r="IFO134" t="s">
        <v>61</v>
      </c>
      <c r="IFP134" t="s">
        <v>61</v>
      </c>
      <c r="IFQ134" t="s">
        <v>61</v>
      </c>
      <c r="IFR134" t="s">
        <v>61</v>
      </c>
      <c r="IFS134" t="s">
        <v>61</v>
      </c>
      <c r="IFT134" t="s">
        <v>61</v>
      </c>
      <c r="IFU134" t="s">
        <v>61</v>
      </c>
      <c r="IFV134" t="s">
        <v>61</v>
      </c>
      <c r="IFW134" t="s">
        <v>61</v>
      </c>
      <c r="IFX134" t="s">
        <v>61</v>
      </c>
      <c r="IFY134" t="s">
        <v>61</v>
      </c>
      <c r="IFZ134" t="s">
        <v>61</v>
      </c>
      <c r="IGA134" t="s">
        <v>61</v>
      </c>
      <c r="IGB134" t="s">
        <v>61</v>
      </c>
      <c r="IGC134" t="s">
        <v>61</v>
      </c>
      <c r="IGD134" t="s">
        <v>61</v>
      </c>
      <c r="IGE134" t="s">
        <v>61</v>
      </c>
      <c r="IGF134" t="s">
        <v>61</v>
      </c>
      <c r="IGG134" t="s">
        <v>61</v>
      </c>
      <c r="IGH134" t="s">
        <v>61</v>
      </c>
      <c r="IGI134" t="s">
        <v>61</v>
      </c>
      <c r="IGJ134" t="s">
        <v>61</v>
      </c>
      <c r="IGK134" t="s">
        <v>61</v>
      </c>
      <c r="IGL134" t="s">
        <v>61</v>
      </c>
      <c r="IGM134" t="s">
        <v>61</v>
      </c>
      <c r="IGN134" t="s">
        <v>61</v>
      </c>
      <c r="IGO134" t="s">
        <v>61</v>
      </c>
      <c r="IGP134" t="s">
        <v>61</v>
      </c>
      <c r="IGQ134" t="s">
        <v>61</v>
      </c>
      <c r="IGR134" t="s">
        <v>61</v>
      </c>
      <c r="IGS134" t="s">
        <v>61</v>
      </c>
      <c r="IGT134" t="s">
        <v>61</v>
      </c>
      <c r="IGU134" t="s">
        <v>61</v>
      </c>
      <c r="IGV134" t="s">
        <v>61</v>
      </c>
      <c r="IGW134" t="s">
        <v>61</v>
      </c>
      <c r="IGX134" t="s">
        <v>61</v>
      </c>
      <c r="IGY134" t="s">
        <v>61</v>
      </c>
      <c r="IGZ134" t="s">
        <v>61</v>
      </c>
      <c r="IHA134" t="s">
        <v>61</v>
      </c>
      <c r="IHB134" t="s">
        <v>61</v>
      </c>
      <c r="IHC134" t="s">
        <v>61</v>
      </c>
      <c r="IHD134" t="s">
        <v>61</v>
      </c>
      <c r="IHE134" t="s">
        <v>61</v>
      </c>
      <c r="IHF134" t="s">
        <v>61</v>
      </c>
      <c r="IHG134" t="s">
        <v>61</v>
      </c>
      <c r="IHH134" t="s">
        <v>61</v>
      </c>
      <c r="IHI134" t="s">
        <v>61</v>
      </c>
      <c r="IHJ134" t="s">
        <v>61</v>
      </c>
      <c r="IHK134" t="s">
        <v>61</v>
      </c>
      <c r="IHL134" t="s">
        <v>61</v>
      </c>
      <c r="IHM134" t="s">
        <v>61</v>
      </c>
      <c r="IHN134" t="s">
        <v>61</v>
      </c>
      <c r="IHO134" t="s">
        <v>61</v>
      </c>
      <c r="IHP134" t="s">
        <v>61</v>
      </c>
      <c r="IHQ134" t="s">
        <v>61</v>
      </c>
      <c r="IHR134" t="s">
        <v>61</v>
      </c>
      <c r="IHS134" t="s">
        <v>61</v>
      </c>
      <c r="IHT134" t="s">
        <v>61</v>
      </c>
      <c r="IHU134" t="s">
        <v>61</v>
      </c>
      <c r="IHV134" t="s">
        <v>61</v>
      </c>
      <c r="IHW134" t="s">
        <v>61</v>
      </c>
      <c r="IHX134" t="s">
        <v>61</v>
      </c>
      <c r="IHY134" t="s">
        <v>61</v>
      </c>
      <c r="IHZ134" t="s">
        <v>61</v>
      </c>
      <c r="IIA134" t="s">
        <v>61</v>
      </c>
      <c r="IIB134" t="s">
        <v>61</v>
      </c>
      <c r="IIC134" t="s">
        <v>61</v>
      </c>
      <c r="IID134" t="s">
        <v>61</v>
      </c>
      <c r="IIE134" t="s">
        <v>61</v>
      </c>
      <c r="IIF134" t="s">
        <v>61</v>
      </c>
      <c r="IIG134" t="s">
        <v>61</v>
      </c>
      <c r="IIH134" t="s">
        <v>61</v>
      </c>
      <c r="III134" t="s">
        <v>61</v>
      </c>
      <c r="IIJ134" t="s">
        <v>61</v>
      </c>
      <c r="IIK134" t="s">
        <v>61</v>
      </c>
      <c r="IIL134" t="s">
        <v>61</v>
      </c>
      <c r="IIM134" t="s">
        <v>61</v>
      </c>
      <c r="IIN134" t="s">
        <v>61</v>
      </c>
      <c r="IIO134" t="s">
        <v>61</v>
      </c>
      <c r="IIP134" t="s">
        <v>61</v>
      </c>
      <c r="IIQ134" t="s">
        <v>61</v>
      </c>
      <c r="IIR134" t="s">
        <v>61</v>
      </c>
      <c r="IIS134" t="s">
        <v>61</v>
      </c>
      <c r="IIT134" t="s">
        <v>61</v>
      </c>
      <c r="IIU134" t="s">
        <v>61</v>
      </c>
      <c r="IIV134" t="s">
        <v>61</v>
      </c>
      <c r="IIW134" t="s">
        <v>61</v>
      </c>
      <c r="IIX134" t="s">
        <v>61</v>
      </c>
      <c r="IIY134" t="s">
        <v>61</v>
      </c>
      <c r="IIZ134" t="s">
        <v>61</v>
      </c>
      <c r="IJA134" t="s">
        <v>61</v>
      </c>
      <c r="IJB134" t="s">
        <v>61</v>
      </c>
      <c r="IJC134" t="s">
        <v>61</v>
      </c>
      <c r="IJD134" t="s">
        <v>61</v>
      </c>
      <c r="IJE134" t="s">
        <v>61</v>
      </c>
      <c r="IJF134" t="s">
        <v>61</v>
      </c>
      <c r="IJG134" t="s">
        <v>61</v>
      </c>
      <c r="IJH134" t="s">
        <v>61</v>
      </c>
      <c r="IJI134" t="s">
        <v>61</v>
      </c>
      <c r="IJJ134" t="s">
        <v>61</v>
      </c>
      <c r="IJK134" t="s">
        <v>61</v>
      </c>
      <c r="IJL134" t="s">
        <v>61</v>
      </c>
      <c r="IJM134" t="s">
        <v>61</v>
      </c>
      <c r="IJN134" t="s">
        <v>61</v>
      </c>
      <c r="IJO134" t="s">
        <v>61</v>
      </c>
      <c r="IJP134" t="s">
        <v>61</v>
      </c>
      <c r="IJQ134" t="s">
        <v>61</v>
      </c>
      <c r="IJR134" t="s">
        <v>61</v>
      </c>
      <c r="IJS134" t="s">
        <v>61</v>
      </c>
      <c r="IJT134" t="s">
        <v>61</v>
      </c>
      <c r="IJU134" t="s">
        <v>61</v>
      </c>
      <c r="IJV134" t="s">
        <v>61</v>
      </c>
      <c r="IJW134" t="s">
        <v>61</v>
      </c>
      <c r="IJX134" t="s">
        <v>61</v>
      </c>
      <c r="IJY134" t="s">
        <v>61</v>
      </c>
      <c r="IJZ134" t="s">
        <v>61</v>
      </c>
      <c r="IKA134" t="s">
        <v>61</v>
      </c>
      <c r="IKB134" t="s">
        <v>61</v>
      </c>
      <c r="IKC134" t="s">
        <v>61</v>
      </c>
      <c r="IKD134" t="s">
        <v>61</v>
      </c>
      <c r="IKE134" t="s">
        <v>61</v>
      </c>
      <c r="IKF134" t="s">
        <v>61</v>
      </c>
      <c r="IKG134" t="s">
        <v>61</v>
      </c>
      <c r="IKH134" t="s">
        <v>61</v>
      </c>
      <c r="IKI134" t="s">
        <v>61</v>
      </c>
      <c r="IKJ134" t="s">
        <v>61</v>
      </c>
      <c r="IKK134" t="s">
        <v>61</v>
      </c>
      <c r="IKL134" t="s">
        <v>61</v>
      </c>
      <c r="IKM134" t="s">
        <v>61</v>
      </c>
      <c r="IKN134" t="s">
        <v>61</v>
      </c>
      <c r="IKO134" t="s">
        <v>61</v>
      </c>
      <c r="IKP134" t="s">
        <v>61</v>
      </c>
      <c r="IKQ134" t="s">
        <v>61</v>
      </c>
      <c r="IKR134" t="s">
        <v>61</v>
      </c>
      <c r="IKS134" t="s">
        <v>61</v>
      </c>
      <c r="IKT134" t="s">
        <v>61</v>
      </c>
      <c r="IKU134" t="s">
        <v>61</v>
      </c>
      <c r="IKV134" t="s">
        <v>61</v>
      </c>
      <c r="IKW134" t="s">
        <v>61</v>
      </c>
      <c r="IKX134" t="s">
        <v>61</v>
      </c>
      <c r="IKY134" t="s">
        <v>61</v>
      </c>
      <c r="IKZ134" t="s">
        <v>61</v>
      </c>
      <c r="ILA134" t="s">
        <v>61</v>
      </c>
      <c r="ILB134" t="s">
        <v>61</v>
      </c>
      <c r="ILC134" t="s">
        <v>61</v>
      </c>
      <c r="ILD134" t="s">
        <v>61</v>
      </c>
      <c r="ILE134" t="s">
        <v>61</v>
      </c>
      <c r="ILF134" t="s">
        <v>61</v>
      </c>
      <c r="ILG134" t="s">
        <v>61</v>
      </c>
      <c r="ILH134" t="s">
        <v>61</v>
      </c>
      <c r="ILI134" t="s">
        <v>61</v>
      </c>
      <c r="ILJ134" t="s">
        <v>61</v>
      </c>
      <c r="ILK134" t="s">
        <v>61</v>
      </c>
      <c r="ILL134" t="s">
        <v>61</v>
      </c>
      <c r="ILM134" t="s">
        <v>61</v>
      </c>
      <c r="ILN134" t="s">
        <v>61</v>
      </c>
      <c r="ILO134" t="s">
        <v>61</v>
      </c>
      <c r="ILP134" t="s">
        <v>61</v>
      </c>
      <c r="ILQ134" t="s">
        <v>61</v>
      </c>
      <c r="ILR134" t="s">
        <v>61</v>
      </c>
      <c r="ILS134" t="s">
        <v>61</v>
      </c>
      <c r="ILT134" t="s">
        <v>61</v>
      </c>
      <c r="ILU134" t="s">
        <v>61</v>
      </c>
      <c r="ILV134" t="s">
        <v>61</v>
      </c>
      <c r="ILW134" t="s">
        <v>61</v>
      </c>
      <c r="ILX134" t="s">
        <v>61</v>
      </c>
      <c r="ILY134" t="s">
        <v>61</v>
      </c>
      <c r="ILZ134" t="s">
        <v>61</v>
      </c>
      <c r="IMA134" t="s">
        <v>61</v>
      </c>
      <c r="IMB134" t="s">
        <v>61</v>
      </c>
      <c r="IMC134" t="s">
        <v>61</v>
      </c>
      <c r="IMD134" t="s">
        <v>61</v>
      </c>
      <c r="IME134" t="s">
        <v>61</v>
      </c>
      <c r="IMF134" t="s">
        <v>61</v>
      </c>
      <c r="IMG134" t="s">
        <v>61</v>
      </c>
      <c r="IMH134" t="s">
        <v>61</v>
      </c>
      <c r="IMI134" t="s">
        <v>61</v>
      </c>
      <c r="IMJ134" t="s">
        <v>61</v>
      </c>
      <c r="IMK134" t="s">
        <v>61</v>
      </c>
      <c r="IML134" t="s">
        <v>61</v>
      </c>
      <c r="IMM134" t="s">
        <v>61</v>
      </c>
      <c r="IMN134" t="s">
        <v>61</v>
      </c>
      <c r="IMO134" t="s">
        <v>61</v>
      </c>
      <c r="IMP134" t="s">
        <v>61</v>
      </c>
      <c r="IMQ134" t="s">
        <v>61</v>
      </c>
      <c r="IMR134" t="s">
        <v>61</v>
      </c>
      <c r="IMS134" t="s">
        <v>61</v>
      </c>
      <c r="IMT134" t="s">
        <v>61</v>
      </c>
      <c r="IMU134" t="s">
        <v>61</v>
      </c>
      <c r="IMV134" t="s">
        <v>61</v>
      </c>
      <c r="IMW134" t="s">
        <v>61</v>
      </c>
      <c r="IMX134" t="s">
        <v>61</v>
      </c>
      <c r="IMY134" t="s">
        <v>61</v>
      </c>
      <c r="IMZ134" t="s">
        <v>61</v>
      </c>
      <c r="INA134" t="s">
        <v>61</v>
      </c>
      <c r="INB134" t="s">
        <v>61</v>
      </c>
      <c r="INC134" t="s">
        <v>61</v>
      </c>
      <c r="IND134" t="s">
        <v>61</v>
      </c>
      <c r="INE134" t="s">
        <v>61</v>
      </c>
      <c r="INF134" t="s">
        <v>61</v>
      </c>
      <c r="ING134" t="s">
        <v>61</v>
      </c>
      <c r="INH134" t="s">
        <v>61</v>
      </c>
      <c r="INI134" t="s">
        <v>61</v>
      </c>
      <c r="INJ134" t="s">
        <v>61</v>
      </c>
      <c r="INK134" t="s">
        <v>61</v>
      </c>
      <c r="INL134" t="s">
        <v>61</v>
      </c>
      <c r="INM134" t="s">
        <v>61</v>
      </c>
      <c r="INN134" t="s">
        <v>61</v>
      </c>
      <c r="INO134" t="s">
        <v>61</v>
      </c>
      <c r="INP134" t="s">
        <v>61</v>
      </c>
      <c r="INQ134" t="s">
        <v>61</v>
      </c>
      <c r="INR134" t="s">
        <v>61</v>
      </c>
      <c r="INS134" t="s">
        <v>61</v>
      </c>
      <c r="INT134" t="s">
        <v>61</v>
      </c>
      <c r="INU134" t="s">
        <v>61</v>
      </c>
      <c r="INV134" t="s">
        <v>61</v>
      </c>
      <c r="INW134" t="s">
        <v>61</v>
      </c>
      <c r="INX134" t="s">
        <v>61</v>
      </c>
      <c r="INY134" t="s">
        <v>61</v>
      </c>
      <c r="INZ134" t="s">
        <v>61</v>
      </c>
      <c r="IOA134" t="s">
        <v>61</v>
      </c>
      <c r="IOB134" t="s">
        <v>61</v>
      </c>
      <c r="IOC134" t="s">
        <v>61</v>
      </c>
      <c r="IOD134" t="s">
        <v>61</v>
      </c>
      <c r="IOE134" t="s">
        <v>61</v>
      </c>
      <c r="IOF134" t="s">
        <v>61</v>
      </c>
      <c r="IOG134" t="s">
        <v>61</v>
      </c>
      <c r="IOH134" t="s">
        <v>61</v>
      </c>
      <c r="IOI134" t="s">
        <v>61</v>
      </c>
      <c r="IOJ134" t="s">
        <v>61</v>
      </c>
      <c r="IOK134" t="s">
        <v>61</v>
      </c>
      <c r="IOL134" t="s">
        <v>61</v>
      </c>
      <c r="IOM134" t="s">
        <v>61</v>
      </c>
      <c r="ION134" t="s">
        <v>61</v>
      </c>
      <c r="IOO134" t="s">
        <v>61</v>
      </c>
      <c r="IOP134" t="s">
        <v>61</v>
      </c>
      <c r="IOQ134" t="s">
        <v>61</v>
      </c>
      <c r="IOR134" t="s">
        <v>61</v>
      </c>
      <c r="IOS134" t="s">
        <v>61</v>
      </c>
      <c r="IOT134" t="s">
        <v>61</v>
      </c>
      <c r="IOU134" t="s">
        <v>61</v>
      </c>
      <c r="IOV134" t="s">
        <v>61</v>
      </c>
      <c r="IOW134" t="s">
        <v>61</v>
      </c>
      <c r="IOX134" t="s">
        <v>61</v>
      </c>
      <c r="IOY134" t="s">
        <v>61</v>
      </c>
      <c r="IOZ134" t="s">
        <v>61</v>
      </c>
      <c r="IPA134" t="s">
        <v>61</v>
      </c>
      <c r="IPB134" t="s">
        <v>61</v>
      </c>
      <c r="IPC134" t="s">
        <v>61</v>
      </c>
      <c r="IPD134" t="s">
        <v>61</v>
      </c>
      <c r="IPE134" t="s">
        <v>61</v>
      </c>
      <c r="IPF134" t="s">
        <v>61</v>
      </c>
      <c r="IPG134" t="s">
        <v>61</v>
      </c>
      <c r="IPH134" t="s">
        <v>61</v>
      </c>
      <c r="IPI134" t="s">
        <v>61</v>
      </c>
      <c r="IPJ134" t="s">
        <v>61</v>
      </c>
      <c r="IPK134" t="s">
        <v>61</v>
      </c>
      <c r="IPL134" t="s">
        <v>61</v>
      </c>
      <c r="IPM134" t="s">
        <v>61</v>
      </c>
      <c r="IPN134" t="s">
        <v>61</v>
      </c>
      <c r="IPO134" t="s">
        <v>61</v>
      </c>
      <c r="IPP134" t="s">
        <v>61</v>
      </c>
      <c r="IPQ134" t="s">
        <v>61</v>
      </c>
      <c r="IPR134" t="s">
        <v>61</v>
      </c>
      <c r="IPS134" t="s">
        <v>61</v>
      </c>
      <c r="IPT134" t="s">
        <v>61</v>
      </c>
      <c r="IPU134" t="s">
        <v>61</v>
      </c>
      <c r="IPV134" t="s">
        <v>61</v>
      </c>
      <c r="IPW134" t="s">
        <v>61</v>
      </c>
      <c r="IPX134" t="s">
        <v>61</v>
      </c>
      <c r="IPY134" t="s">
        <v>61</v>
      </c>
      <c r="IPZ134" t="s">
        <v>61</v>
      </c>
      <c r="IQA134" t="s">
        <v>61</v>
      </c>
      <c r="IQB134" t="s">
        <v>61</v>
      </c>
      <c r="IQC134" t="s">
        <v>61</v>
      </c>
      <c r="IQD134" t="s">
        <v>61</v>
      </c>
      <c r="IQE134" t="s">
        <v>61</v>
      </c>
      <c r="IQF134" t="s">
        <v>61</v>
      </c>
      <c r="IQG134" t="s">
        <v>61</v>
      </c>
      <c r="IQH134" t="s">
        <v>61</v>
      </c>
      <c r="IQI134" t="s">
        <v>61</v>
      </c>
      <c r="IQJ134" t="s">
        <v>61</v>
      </c>
      <c r="IQK134" t="s">
        <v>61</v>
      </c>
      <c r="IQL134" t="s">
        <v>61</v>
      </c>
      <c r="IQM134" t="s">
        <v>61</v>
      </c>
      <c r="IQN134" t="s">
        <v>61</v>
      </c>
      <c r="IQO134" t="s">
        <v>61</v>
      </c>
      <c r="IQP134" t="s">
        <v>61</v>
      </c>
      <c r="IQQ134" t="s">
        <v>61</v>
      </c>
      <c r="IQR134" t="s">
        <v>61</v>
      </c>
      <c r="IQS134" t="s">
        <v>61</v>
      </c>
      <c r="IQT134" t="s">
        <v>61</v>
      </c>
      <c r="IQU134" t="s">
        <v>61</v>
      </c>
      <c r="IQV134" t="s">
        <v>61</v>
      </c>
      <c r="IQW134" t="s">
        <v>61</v>
      </c>
      <c r="IQX134" t="s">
        <v>61</v>
      </c>
      <c r="IQY134" t="s">
        <v>61</v>
      </c>
      <c r="IQZ134" t="s">
        <v>61</v>
      </c>
      <c r="IRA134" t="s">
        <v>61</v>
      </c>
      <c r="IRB134" t="s">
        <v>61</v>
      </c>
      <c r="IRC134" t="s">
        <v>61</v>
      </c>
      <c r="IRD134" t="s">
        <v>61</v>
      </c>
      <c r="IRE134" t="s">
        <v>61</v>
      </c>
      <c r="IRF134" t="s">
        <v>61</v>
      </c>
      <c r="IRG134" t="s">
        <v>61</v>
      </c>
      <c r="IRH134" t="s">
        <v>61</v>
      </c>
      <c r="IRI134" t="s">
        <v>61</v>
      </c>
      <c r="IRJ134" t="s">
        <v>61</v>
      </c>
      <c r="IRK134" t="s">
        <v>61</v>
      </c>
      <c r="IRL134" t="s">
        <v>61</v>
      </c>
      <c r="IRM134" t="s">
        <v>61</v>
      </c>
      <c r="IRN134" t="s">
        <v>61</v>
      </c>
      <c r="IRO134" t="s">
        <v>61</v>
      </c>
      <c r="IRP134" t="s">
        <v>61</v>
      </c>
      <c r="IRQ134" t="s">
        <v>61</v>
      </c>
      <c r="IRR134" t="s">
        <v>61</v>
      </c>
      <c r="IRS134" t="s">
        <v>61</v>
      </c>
      <c r="IRT134" t="s">
        <v>61</v>
      </c>
      <c r="IRU134" t="s">
        <v>61</v>
      </c>
      <c r="IRV134" t="s">
        <v>61</v>
      </c>
      <c r="IRW134" t="s">
        <v>61</v>
      </c>
      <c r="IRX134" t="s">
        <v>61</v>
      </c>
      <c r="IRY134" t="s">
        <v>61</v>
      </c>
      <c r="IRZ134" t="s">
        <v>61</v>
      </c>
      <c r="ISA134" t="s">
        <v>61</v>
      </c>
      <c r="ISB134" t="s">
        <v>61</v>
      </c>
      <c r="ISC134" t="s">
        <v>61</v>
      </c>
      <c r="ISD134" t="s">
        <v>61</v>
      </c>
      <c r="ISE134" t="s">
        <v>61</v>
      </c>
      <c r="ISF134" t="s">
        <v>61</v>
      </c>
      <c r="ISG134" t="s">
        <v>61</v>
      </c>
      <c r="ISH134" t="s">
        <v>61</v>
      </c>
      <c r="ISI134" t="s">
        <v>61</v>
      </c>
      <c r="ISJ134" t="s">
        <v>61</v>
      </c>
      <c r="ISK134" t="s">
        <v>61</v>
      </c>
      <c r="ISL134" t="s">
        <v>61</v>
      </c>
      <c r="ISM134" t="s">
        <v>61</v>
      </c>
      <c r="ISN134" t="s">
        <v>61</v>
      </c>
      <c r="ISO134" t="s">
        <v>61</v>
      </c>
      <c r="ISP134" t="s">
        <v>61</v>
      </c>
      <c r="ISQ134" t="s">
        <v>61</v>
      </c>
      <c r="ISR134" t="s">
        <v>61</v>
      </c>
      <c r="ISS134" t="s">
        <v>61</v>
      </c>
      <c r="IST134" t="s">
        <v>61</v>
      </c>
      <c r="ISU134" t="s">
        <v>61</v>
      </c>
      <c r="ISV134" t="s">
        <v>61</v>
      </c>
      <c r="ISW134" t="s">
        <v>61</v>
      </c>
      <c r="ISX134" t="s">
        <v>61</v>
      </c>
      <c r="ISY134" t="s">
        <v>61</v>
      </c>
      <c r="ISZ134" t="s">
        <v>61</v>
      </c>
      <c r="ITA134" t="s">
        <v>61</v>
      </c>
      <c r="ITB134" t="s">
        <v>61</v>
      </c>
      <c r="ITC134" t="s">
        <v>61</v>
      </c>
      <c r="ITD134" t="s">
        <v>61</v>
      </c>
      <c r="ITE134" t="s">
        <v>61</v>
      </c>
      <c r="ITF134" t="s">
        <v>61</v>
      </c>
      <c r="ITG134" t="s">
        <v>61</v>
      </c>
      <c r="ITH134" t="s">
        <v>61</v>
      </c>
      <c r="ITI134" t="s">
        <v>61</v>
      </c>
      <c r="ITJ134" t="s">
        <v>61</v>
      </c>
      <c r="ITK134" t="s">
        <v>61</v>
      </c>
      <c r="ITL134" t="s">
        <v>61</v>
      </c>
      <c r="ITM134" t="s">
        <v>61</v>
      </c>
      <c r="ITN134" t="s">
        <v>61</v>
      </c>
      <c r="ITO134" t="s">
        <v>61</v>
      </c>
      <c r="ITP134" t="s">
        <v>61</v>
      </c>
      <c r="ITQ134" t="s">
        <v>61</v>
      </c>
      <c r="ITR134" t="s">
        <v>61</v>
      </c>
      <c r="ITS134" t="s">
        <v>61</v>
      </c>
      <c r="ITT134" t="s">
        <v>61</v>
      </c>
      <c r="ITU134" t="s">
        <v>61</v>
      </c>
      <c r="ITV134" t="s">
        <v>61</v>
      </c>
      <c r="ITW134" t="s">
        <v>61</v>
      </c>
      <c r="ITX134" t="s">
        <v>61</v>
      </c>
      <c r="ITY134" t="s">
        <v>61</v>
      </c>
      <c r="ITZ134" t="s">
        <v>61</v>
      </c>
      <c r="IUA134" t="s">
        <v>61</v>
      </c>
      <c r="IUB134" t="s">
        <v>61</v>
      </c>
      <c r="IUC134" t="s">
        <v>61</v>
      </c>
      <c r="IUD134" t="s">
        <v>61</v>
      </c>
      <c r="IUE134" t="s">
        <v>61</v>
      </c>
      <c r="IUF134" t="s">
        <v>61</v>
      </c>
      <c r="IUG134" t="s">
        <v>61</v>
      </c>
      <c r="IUH134" t="s">
        <v>61</v>
      </c>
      <c r="IUI134" t="s">
        <v>61</v>
      </c>
      <c r="IUJ134" t="s">
        <v>61</v>
      </c>
      <c r="IUK134" t="s">
        <v>61</v>
      </c>
      <c r="IUL134" t="s">
        <v>61</v>
      </c>
      <c r="IUM134" t="s">
        <v>61</v>
      </c>
      <c r="IUN134" t="s">
        <v>61</v>
      </c>
      <c r="IUO134" t="s">
        <v>61</v>
      </c>
      <c r="IUP134" t="s">
        <v>61</v>
      </c>
      <c r="IUQ134" t="s">
        <v>61</v>
      </c>
      <c r="IUR134" t="s">
        <v>61</v>
      </c>
      <c r="IUS134" t="s">
        <v>61</v>
      </c>
      <c r="IUT134" t="s">
        <v>61</v>
      </c>
      <c r="IUU134" t="s">
        <v>61</v>
      </c>
      <c r="IUV134" t="s">
        <v>61</v>
      </c>
      <c r="IUW134" t="s">
        <v>61</v>
      </c>
      <c r="IUX134" t="s">
        <v>61</v>
      </c>
      <c r="IUY134" t="s">
        <v>61</v>
      </c>
      <c r="IUZ134" t="s">
        <v>61</v>
      </c>
      <c r="IVA134" t="s">
        <v>61</v>
      </c>
      <c r="IVB134" t="s">
        <v>61</v>
      </c>
      <c r="IVC134" t="s">
        <v>61</v>
      </c>
      <c r="IVD134" t="s">
        <v>61</v>
      </c>
      <c r="IVE134" t="s">
        <v>61</v>
      </c>
      <c r="IVF134" t="s">
        <v>61</v>
      </c>
      <c r="IVG134" t="s">
        <v>61</v>
      </c>
      <c r="IVH134" t="s">
        <v>61</v>
      </c>
      <c r="IVI134" t="s">
        <v>61</v>
      </c>
      <c r="IVJ134" t="s">
        <v>61</v>
      </c>
      <c r="IVK134" t="s">
        <v>61</v>
      </c>
      <c r="IVL134" t="s">
        <v>61</v>
      </c>
      <c r="IVM134" t="s">
        <v>61</v>
      </c>
      <c r="IVN134" t="s">
        <v>61</v>
      </c>
      <c r="IVO134" t="s">
        <v>61</v>
      </c>
      <c r="IVP134" t="s">
        <v>61</v>
      </c>
      <c r="IVQ134" t="s">
        <v>61</v>
      </c>
      <c r="IVR134" t="s">
        <v>61</v>
      </c>
      <c r="IVS134" t="s">
        <v>61</v>
      </c>
      <c r="IVT134" t="s">
        <v>61</v>
      </c>
      <c r="IVU134" t="s">
        <v>61</v>
      </c>
      <c r="IVV134" t="s">
        <v>61</v>
      </c>
      <c r="IVW134" t="s">
        <v>61</v>
      </c>
      <c r="IVX134" t="s">
        <v>61</v>
      </c>
      <c r="IVY134" t="s">
        <v>61</v>
      </c>
      <c r="IVZ134" t="s">
        <v>61</v>
      </c>
      <c r="IWA134" t="s">
        <v>61</v>
      </c>
      <c r="IWB134" t="s">
        <v>61</v>
      </c>
      <c r="IWC134" t="s">
        <v>61</v>
      </c>
      <c r="IWD134" t="s">
        <v>61</v>
      </c>
      <c r="IWE134" t="s">
        <v>61</v>
      </c>
      <c r="IWF134" t="s">
        <v>61</v>
      </c>
      <c r="IWG134" t="s">
        <v>61</v>
      </c>
      <c r="IWH134" t="s">
        <v>61</v>
      </c>
      <c r="IWI134" t="s">
        <v>61</v>
      </c>
      <c r="IWJ134" t="s">
        <v>61</v>
      </c>
      <c r="IWK134" t="s">
        <v>61</v>
      </c>
      <c r="IWL134" t="s">
        <v>61</v>
      </c>
      <c r="IWM134" t="s">
        <v>61</v>
      </c>
      <c r="IWN134" t="s">
        <v>61</v>
      </c>
      <c r="IWO134" t="s">
        <v>61</v>
      </c>
      <c r="IWP134" t="s">
        <v>61</v>
      </c>
      <c r="IWQ134" t="s">
        <v>61</v>
      </c>
      <c r="IWR134" t="s">
        <v>61</v>
      </c>
      <c r="IWS134" t="s">
        <v>61</v>
      </c>
      <c r="IWT134" t="s">
        <v>61</v>
      </c>
      <c r="IWU134" t="s">
        <v>61</v>
      </c>
      <c r="IWV134" t="s">
        <v>61</v>
      </c>
      <c r="IWW134" t="s">
        <v>61</v>
      </c>
      <c r="IWX134" t="s">
        <v>61</v>
      </c>
      <c r="IWY134" t="s">
        <v>61</v>
      </c>
      <c r="IWZ134" t="s">
        <v>61</v>
      </c>
      <c r="IXA134" t="s">
        <v>61</v>
      </c>
      <c r="IXB134" t="s">
        <v>61</v>
      </c>
      <c r="IXC134" t="s">
        <v>61</v>
      </c>
      <c r="IXD134" t="s">
        <v>61</v>
      </c>
      <c r="IXE134" t="s">
        <v>61</v>
      </c>
      <c r="IXF134" t="s">
        <v>61</v>
      </c>
      <c r="IXG134" t="s">
        <v>61</v>
      </c>
      <c r="IXH134" t="s">
        <v>61</v>
      </c>
      <c r="IXI134" t="s">
        <v>61</v>
      </c>
      <c r="IXJ134" t="s">
        <v>61</v>
      </c>
      <c r="IXK134" t="s">
        <v>61</v>
      </c>
      <c r="IXL134" t="s">
        <v>61</v>
      </c>
      <c r="IXM134" t="s">
        <v>61</v>
      </c>
      <c r="IXN134" t="s">
        <v>61</v>
      </c>
      <c r="IXO134" t="s">
        <v>61</v>
      </c>
      <c r="IXP134" t="s">
        <v>61</v>
      </c>
      <c r="IXQ134" t="s">
        <v>61</v>
      </c>
      <c r="IXR134" t="s">
        <v>61</v>
      </c>
      <c r="IXS134" t="s">
        <v>61</v>
      </c>
      <c r="IXT134" t="s">
        <v>61</v>
      </c>
      <c r="IXU134" t="s">
        <v>61</v>
      </c>
      <c r="IXV134" t="s">
        <v>61</v>
      </c>
      <c r="IXW134" t="s">
        <v>61</v>
      </c>
      <c r="IXX134" t="s">
        <v>61</v>
      </c>
      <c r="IXY134" t="s">
        <v>61</v>
      </c>
      <c r="IXZ134" t="s">
        <v>61</v>
      </c>
      <c r="IYA134" t="s">
        <v>61</v>
      </c>
      <c r="IYB134" t="s">
        <v>61</v>
      </c>
      <c r="IYC134" t="s">
        <v>61</v>
      </c>
      <c r="IYD134" t="s">
        <v>61</v>
      </c>
      <c r="IYE134" t="s">
        <v>61</v>
      </c>
      <c r="IYF134" t="s">
        <v>61</v>
      </c>
      <c r="IYG134" t="s">
        <v>61</v>
      </c>
      <c r="IYH134" t="s">
        <v>61</v>
      </c>
      <c r="IYI134" t="s">
        <v>61</v>
      </c>
      <c r="IYJ134" t="s">
        <v>61</v>
      </c>
      <c r="IYK134" t="s">
        <v>61</v>
      </c>
      <c r="IYL134" t="s">
        <v>61</v>
      </c>
      <c r="IYM134" t="s">
        <v>61</v>
      </c>
      <c r="IYN134" t="s">
        <v>61</v>
      </c>
      <c r="IYO134" t="s">
        <v>61</v>
      </c>
      <c r="IYP134" t="s">
        <v>61</v>
      </c>
      <c r="IYQ134" t="s">
        <v>61</v>
      </c>
      <c r="IYR134" t="s">
        <v>61</v>
      </c>
      <c r="IYS134" t="s">
        <v>61</v>
      </c>
      <c r="IYT134" t="s">
        <v>61</v>
      </c>
      <c r="IYU134" t="s">
        <v>61</v>
      </c>
      <c r="IYV134" t="s">
        <v>61</v>
      </c>
      <c r="IYW134" t="s">
        <v>61</v>
      </c>
      <c r="IYX134" t="s">
        <v>61</v>
      </c>
      <c r="IYY134" t="s">
        <v>61</v>
      </c>
      <c r="IYZ134" t="s">
        <v>61</v>
      </c>
      <c r="IZA134" t="s">
        <v>61</v>
      </c>
      <c r="IZB134" t="s">
        <v>61</v>
      </c>
      <c r="IZC134" t="s">
        <v>61</v>
      </c>
      <c r="IZD134" t="s">
        <v>61</v>
      </c>
      <c r="IZE134" t="s">
        <v>61</v>
      </c>
      <c r="IZF134" t="s">
        <v>61</v>
      </c>
      <c r="IZG134" t="s">
        <v>61</v>
      </c>
      <c r="IZH134" t="s">
        <v>61</v>
      </c>
      <c r="IZI134" t="s">
        <v>61</v>
      </c>
      <c r="IZJ134" t="s">
        <v>61</v>
      </c>
      <c r="IZK134" t="s">
        <v>61</v>
      </c>
      <c r="IZL134" t="s">
        <v>61</v>
      </c>
      <c r="IZM134" t="s">
        <v>61</v>
      </c>
      <c r="IZN134" t="s">
        <v>61</v>
      </c>
      <c r="IZO134" t="s">
        <v>61</v>
      </c>
      <c r="IZP134" t="s">
        <v>61</v>
      </c>
      <c r="IZQ134" t="s">
        <v>61</v>
      </c>
      <c r="IZR134" t="s">
        <v>61</v>
      </c>
      <c r="IZS134" t="s">
        <v>61</v>
      </c>
      <c r="IZT134" t="s">
        <v>61</v>
      </c>
      <c r="IZU134" t="s">
        <v>61</v>
      </c>
      <c r="IZV134" t="s">
        <v>61</v>
      </c>
      <c r="IZW134" t="s">
        <v>61</v>
      </c>
      <c r="IZX134" t="s">
        <v>61</v>
      </c>
      <c r="IZY134" t="s">
        <v>61</v>
      </c>
      <c r="IZZ134" t="s">
        <v>61</v>
      </c>
      <c r="JAA134" t="s">
        <v>61</v>
      </c>
      <c r="JAB134" t="s">
        <v>61</v>
      </c>
      <c r="JAC134" t="s">
        <v>61</v>
      </c>
      <c r="JAD134" t="s">
        <v>61</v>
      </c>
      <c r="JAE134" t="s">
        <v>61</v>
      </c>
      <c r="JAF134" t="s">
        <v>61</v>
      </c>
      <c r="JAG134" t="s">
        <v>61</v>
      </c>
      <c r="JAH134" t="s">
        <v>61</v>
      </c>
      <c r="JAI134" t="s">
        <v>61</v>
      </c>
      <c r="JAJ134" t="s">
        <v>61</v>
      </c>
      <c r="JAK134" t="s">
        <v>61</v>
      </c>
      <c r="JAL134" t="s">
        <v>61</v>
      </c>
      <c r="JAM134" t="s">
        <v>61</v>
      </c>
      <c r="JAN134" t="s">
        <v>61</v>
      </c>
      <c r="JAO134" t="s">
        <v>61</v>
      </c>
      <c r="JAP134" t="s">
        <v>61</v>
      </c>
      <c r="JAQ134" t="s">
        <v>61</v>
      </c>
      <c r="JAR134" t="s">
        <v>61</v>
      </c>
      <c r="JAS134" t="s">
        <v>61</v>
      </c>
      <c r="JAT134" t="s">
        <v>61</v>
      </c>
      <c r="JAU134" t="s">
        <v>61</v>
      </c>
      <c r="JAV134" t="s">
        <v>61</v>
      </c>
      <c r="JAW134" t="s">
        <v>61</v>
      </c>
      <c r="JAX134" t="s">
        <v>61</v>
      </c>
      <c r="JAY134" t="s">
        <v>61</v>
      </c>
      <c r="JAZ134" t="s">
        <v>61</v>
      </c>
      <c r="JBA134" t="s">
        <v>61</v>
      </c>
      <c r="JBB134" t="s">
        <v>61</v>
      </c>
      <c r="JBC134" t="s">
        <v>61</v>
      </c>
      <c r="JBD134" t="s">
        <v>61</v>
      </c>
      <c r="JBE134" t="s">
        <v>61</v>
      </c>
      <c r="JBF134" t="s">
        <v>61</v>
      </c>
      <c r="JBG134" t="s">
        <v>61</v>
      </c>
      <c r="JBH134" t="s">
        <v>61</v>
      </c>
      <c r="JBI134" t="s">
        <v>61</v>
      </c>
      <c r="JBJ134" t="s">
        <v>61</v>
      </c>
      <c r="JBK134" t="s">
        <v>61</v>
      </c>
      <c r="JBL134" t="s">
        <v>61</v>
      </c>
      <c r="JBM134" t="s">
        <v>61</v>
      </c>
      <c r="JBN134" t="s">
        <v>61</v>
      </c>
      <c r="JBO134" t="s">
        <v>61</v>
      </c>
      <c r="JBP134" t="s">
        <v>61</v>
      </c>
      <c r="JBQ134" t="s">
        <v>61</v>
      </c>
      <c r="JBR134" t="s">
        <v>61</v>
      </c>
      <c r="JBS134" t="s">
        <v>61</v>
      </c>
      <c r="JBT134" t="s">
        <v>61</v>
      </c>
      <c r="JBU134" t="s">
        <v>61</v>
      </c>
      <c r="JBV134" t="s">
        <v>61</v>
      </c>
      <c r="JBW134" t="s">
        <v>61</v>
      </c>
      <c r="JBX134" t="s">
        <v>61</v>
      </c>
      <c r="JBY134" t="s">
        <v>61</v>
      </c>
      <c r="JBZ134" t="s">
        <v>61</v>
      </c>
      <c r="JCA134" t="s">
        <v>61</v>
      </c>
      <c r="JCB134" t="s">
        <v>61</v>
      </c>
      <c r="JCC134" t="s">
        <v>61</v>
      </c>
      <c r="JCD134" t="s">
        <v>61</v>
      </c>
      <c r="JCE134" t="s">
        <v>61</v>
      </c>
      <c r="JCF134" t="s">
        <v>61</v>
      </c>
      <c r="JCG134" t="s">
        <v>61</v>
      </c>
      <c r="JCH134" t="s">
        <v>61</v>
      </c>
      <c r="JCI134" t="s">
        <v>61</v>
      </c>
      <c r="JCJ134" t="s">
        <v>61</v>
      </c>
      <c r="JCK134" t="s">
        <v>61</v>
      </c>
      <c r="JCL134" t="s">
        <v>61</v>
      </c>
      <c r="JCM134" t="s">
        <v>61</v>
      </c>
      <c r="JCN134" t="s">
        <v>61</v>
      </c>
      <c r="JCO134" t="s">
        <v>61</v>
      </c>
      <c r="JCP134" t="s">
        <v>61</v>
      </c>
      <c r="JCQ134" t="s">
        <v>61</v>
      </c>
      <c r="JCR134" t="s">
        <v>61</v>
      </c>
      <c r="JCS134" t="s">
        <v>61</v>
      </c>
      <c r="JCT134" t="s">
        <v>61</v>
      </c>
      <c r="JCU134" t="s">
        <v>61</v>
      </c>
      <c r="JCV134" t="s">
        <v>61</v>
      </c>
      <c r="JCW134" t="s">
        <v>61</v>
      </c>
      <c r="JCX134" t="s">
        <v>61</v>
      </c>
      <c r="JCY134" t="s">
        <v>61</v>
      </c>
      <c r="JCZ134" t="s">
        <v>61</v>
      </c>
      <c r="JDA134" t="s">
        <v>61</v>
      </c>
      <c r="JDB134" t="s">
        <v>61</v>
      </c>
      <c r="JDC134" t="s">
        <v>61</v>
      </c>
      <c r="JDD134" t="s">
        <v>61</v>
      </c>
      <c r="JDE134" t="s">
        <v>61</v>
      </c>
      <c r="JDF134" t="s">
        <v>61</v>
      </c>
      <c r="JDG134" t="s">
        <v>61</v>
      </c>
      <c r="JDH134" t="s">
        <v>61</v>
      </c>
      <c r="JDI134" t="s">
        <v>61</v>
      </c>
      <c r="JDJ134" t="s">
        <v>61</v>
      </c>
      <c r="JDK134" t="s">
        <v>61</v>
      </c>
      <c r="JDL134" t="s">
        <v>61</v>
      </c>
      <c r="JDM134" t="s">
        <v>61</v>
      </c>
      <c r="JDN134" t="s">
        <v>61</v>
      </c>
      <c r="JDO134" t="s">
        <v>61</v>
      </c>
      <c r="JDP134" t="s">
        <v>61</v>
      </c>
      <c r="JDQ134" t="s">
        <v>61</v>
      </c>
      <c r="JDR134" t="s">
        <v>61</v>
      </c>
      <c r="JDS134" t="s">
        <v>61</v>
      </c>
      <c r="JDT134" t="s">
        <v>61</v>
      </c>
      <c r="JDU134" t="s">
        <v>61</v>
      </c>
      <c r="JDV134" t="s">
        <v>61</v>
      </c>
      <c r="JDW134" t="s">
        <v>61</v>
      </c>
      <c r="JDX134" t="s">
        <v>61</v>
      </c>
      <c r="JDY134" t="s">
        <v>61</v>
      </c>
      <c r="JDZ134" t="s">
        <v>61</v>
      </c>
      <c r="JEA134" t="s">
        <v>61</v>
      </c>
      <c r="JEB134" t="s">
        <v>61</v>
      </c>
      <c r="JEC134" t="s">
        <v>61</v>
      </c>
      <c r="JED134" t="s">
        <v>61</v>
      </c>
      <c r="JEE134" t="s">
        <v>61</v>
      </c>
      <c r="JEF134" t="s">
        <v>61</v>
      </c>
      <c r="JEG134" t="s">
        <v>61</v>
      </c>
      <c r="JEH134" t="s">
        <v>61</v>
      </c>
      <c r="JEI134" t="s">
        <v>61</v>
      </c>
      <c r="JEJ134" t="s">
        <v>61</v>
      </c>
      <c r="JEK134" t="s">
        <v>61</v>
      </c>
      <c r="JEL134" t="s">
        <v>61</v>
      </c>
      <c r="JEM134" t="s">
        <v>61</v>
      </c>
      <c r="JEN134" t="s">
        <v>61</v>
      </c>
      <c r="JEO134" t="s">
        <v>61</v>
      </c>
      <c r="JEP134" t="s">
        <v>61</v>
      </c>
      <c r="JEQ134" t="s">
        <v>61</v>
      </c>
      <c r="JER134" t="s">
        <v>61</v>
      </c>
      <c r="JES134" t="s">
        <v>61</v>
      </c>
      <c r="JET134" t="s">
        <v>61</v>
      </c>
      <c r="JEU134" t="s">
        <v>61</v>
      </c>
      <c r="JEV134" t="s">
        <v>61</v>
      </c>
      <c r="JEW134" t="s">
        <v>61</v>
      </c>
      <c r="JEX134" t="s">
        <v>61</v>
      </c>
      <c r="JEY134" t="s">
        <v>61</v>
      </c>
      <c r="JEZ134" t="s">
        <v>61</v>
      </c>
      <c r="JFA134" t="s">
        <v>61</v>
      </c>
      <c r="JFB134" t="s">
        <v>61</v>
      </c>
      <c r="JFC134" t="s">
        <v>61</v>
      </c>
      <c r="JFD134" t="s">
        <v>61</v>
      </c>
      <c r="JFE134" t="s">
        <v>61</v>
      </c>
      <c r="JFF134" t="s">
        <v>61</v>
      </c>
      <c r="JFG134" t="s">
        <v>61</v>
      </c>
      <c r="JFH134" t="s">
        <v>61</v>
      </c>
      <c r="JFI134" t="s">
        <v>61</v>
      </c>
      <c r="JFJ134" t="s">
        <v>61</v>
      </c>
      <c r="JFK134" t="s">
        <v>61</v>
      </c>
      <c r="JFL134" t="s">
        <v>61</v>
      </c>
      <c r="JFM134" t="s">
        <v>61</v>
      </c>
      <c r="JFN134" t="s">
        <v>61</v>
      </c>
      <c r="JFO134" t="s">
        <v>61</v>
      </c>
      <c r="JFP134" t="s">
        <v>61</v>
      </c>
      <c r="JFQ134" t="s">
        <v>61</v>
      </c>
      <c r="JFR134" t="s">
        <v>61</v>
      </c>
      <c r="JFS134" t="s">
        <v>61</v>
      </c>
      <c r="JFT134" t="s">
        <v>61</v>
      </c>
      <c r="JFU134" t="s">
        <v>61</v>
      </c>
      <c r="JFV134" t="s">
        <v>61</v>
      </c>
      <c r="JFW134" t="s">
        <v>61</v>
      </c>
      <c r="JFX134" t="s">
        <v>61</v>
      </c>
      <c r="JFY134" t="s">
        <v>61</v>
      </c>
      <c r="JFZ134" t="s">
        <v>61</v>
      </c>
      <c r="JGA134" t="s">
        <v>61</v>
      </c>
      <c r="JGB134" t="s">
        <v>61</v>
      </c>
      <c r="JGC134" t="s">
        <v>61</v>
      </c>
      <c r="JGD134" t="s">
        <v>61</v>
      </c>
      <c r="JGE134" t="s">
        <v>61</v>
      </c>
      <c r="JGF134" t="s">
        <v>61</v>
      </c>
      <c r="JGG134" t="s">
        <v>61</v>
      </c>
      <c r="JGH134" t="s">
        <v>61</v>
      </c>
      <c r="JGI134" t="s">
        <v>61</v>
      </c>
      <c r="JGJ134" t="s">
        <v>61</v>
      </c>
      <c r="JGK134" t="s">
        <v>61</v>
      </c>
      <c r="JGL134" t="s">
        <v>61</v>
      </c>
      <c r="JGM134" t="s">
        <v>61</v>
      </c>
      <c r="JGN134" t="s">
        <v>61</v>
      </c>
      <c r="JGO134" t="s">
        <v>61</v>
      </c>
      <c r="JGP134" t="s">
        <v>61</v>
      </c>
      <c r="JGQ134" t="s">
        <v>61</v>
      </c>
      <c r="JGR134" t="s">
        <v>61</v>
      </c>
      <c r="JGS134" t="s">
        <v>61</v>
      </c>
      <c r="JGT134" t="s">
        <v>61</v>
      </c>
      <c r="JGU134" t="s">
        <v>61</v>
      </c>
      <c r="JGV134" t="s">
        <v>61</v>
      </c>
      <c r="JGW134" t="s">
        <v>61</v>
      </c>
      <c r="JGX134" t="s">
        <v>61</v>
      </c>
      <c r="JGY134" t="s">
        <v>61</v>
      </c>
      <c r="JGZ134" t="s">
        <v>61</v>
      </c>
      <c r="JHA134" t="s">
        <v>61</v>
      </c>
      <c r="JHB134" t="s">
        <v>61</v>
      </c>
      <c r="JHC134" t="s">
        <v>61</v>
      </c>
      <c r="JHD134" t="s">
        <v>61</v>
      </c>
      <c r="JHE134" t="s">
        <v>61</v>
      </c>
      <c r="JHF134" t="s">
        <v>61</v>
      </c>
      <c r="JHG134" t="s">
        <v>61</v>
      </c>
      <c r="JHH134" t="s">
        <v>61</v>
      </c>
      <c r="JHI134" t="s">
        <v>61</v>
      </c>
      <c r="JHJ134" t="s">
        <v>61</v>
      </c>
      <c r="JHK134" t="s">
        <v>61</v>
      </c>
      <c r="JHL134" t="s">
        <v>61</v>
      </c>
      <c r="JHM134" t="s">
        <v>61</v>
      </c>
      <c r="JHN134" t="s">
        <v>61</v>
      </c>
      <c r="JHO134" t="s">
        <v>61</v>
      </c>
      <c r="JHP134" t="s">
        <v>61</v>
      </c>
      <c r="JHQ134" t="s">
        <v>61</v>
      </c>
      <c r="JHR134" t="s">
        <v>61</v>
      </c>
      <c r="JHS134" t="s">
        <v>61</v>
      </c>
      <c r="JHT134" t="s">
        <v>61</v>
      </c>
      <c r="JHU134" t="s">
        <v>61</v>
      </c>
      <c r="JHV134" t="s">
        <v>61</v>
      </c>
      <c r="JHW134" t="s">
        <v>61</v>
      </c>
      <c r="JHX134" t="s">
        <v>61</v>
      </c>
      <c r="JHY134" t="s">
        <v>61</v>
      </c>
      <c r="JHZ134" t="s">
        <v>61</v>
      </c>
      <c r="JIA134" t="s">
        <v>61</v>
      </c>
      <c r="JIB134" t="s">
        <v>61</v>
      </c>
      <c r="JIC134" t="s">
        <v>61</v>
      </c>
      <c r="JID134" t="s">
        <v>61</v>
      </c>
      <c r="JIE134" t="s">
        <v>61</v>
      </c>
      <c r="JIF134" t="s">
        <v>61</v>
      </c>
      <c r="JIG134" t="s">
        <v>61</v>
      </c>
      <c r="JIH134" t="s">
        <v>61</v>
      </c>
      <c r="JII134" t="s">
        <v>61</v>
      </c>
      <c r="JIJ134" t="s">
        <v>61</v>
      </c>
      <c r="JIK134" t="s">
        <v>61</v>
      </c>
      <c r="JIL134" t="s">
        <v>61</v>
      </c>
      <c r="JIM134" t="s">
        <v>61</v>
      </c>
      <c r="JIN134" t="s">
        <v>61</v>
      </c>
      <c r="JIO134" t="s">
        <v>61</v>
      </c>
      <c r="JIP134" t="s">
        <v>61</v>
      </c>
      <c r="JIQ134" t="s">
        <v>61</v>
      </c>
      <c r="JIR134" t="s">
        <v>61</v>
      </c>
      <c r="JIS134" t="s">
        <v>61</v>
      </c>
      <c r="JIT134" t="s">
        <v>61</v>
      </c>
      <c r="JIU134" t="s">
        <v>61</v>
      </c>
      <c r="JIV134" t="s">
        <v>61</v>
      </c>
      <c r="JIW134" t="s">
        <v>61</v>
      </c>
      <c r="JIX134" t="s">
        <v>61</v>
      </c>
      <c r="JIY134" t="s">
        <v>61</v>
      </c>
      <c r="JIZ134" t="s">
        <v>61</v>
      </c>
      <c r="JJA134" t="s">
        <v>61</v>
      </c>
      <c r="JJB134" t="s">
        <v>61</v>
      </c>
      <c r="JJC134" t="s">
        <v>61</v>
      </c>
      <c r="JJD134" t="s">
        <v>61</v>
      </c>
      <c r="JJE134" t="s">
        <v>61</v>
      </c>
      <c r="JJF134" t="s">
        <v>61</v>
      </c>
      <c r="JJG134" t="s">
        <v>61</v>
      </c>
      <c r="JJH134" t="s">
        <v>61</v>
      </c>
      <c r="JJI134" t="s">
        <v>61</v>
      </c>
      <c r="JJJ134" t="s">
        <v>61</v>
      </c>
      <c r="JJK134" t="s">
        <v>61</v>
      </c>
      <c r="JJL134" t="s">
        <v>61</v>
      </c>
      <c r="JJM134" t="s">
        <v>61</v>
      </c>
      <c r="JJN134" t="s">
        <v>61</v>
      </c>
      <c r="JJO134" t="s">
        <v>61</v>
      </c>
      <c r="JJP134" t="s">
        <v>61</v>
      </c>
      <c r="JJQ134" t="s">
        <v>61</v>
      </c>
      <c r="JJR134" t="s">
        <v>61</v>
      </c>
      <c r="JJS134" t="s">
        <v>61</v>
      </c>
      <c r="JJT134" t="s">
        <v>61</v>
      </c>
      <c r="JJU134" t="s">
        <v>61</v>
      </c>
      <c r="JJV134" t="s">
        <v>61</v>
      </c>
      <c r="JJW134" t="s">
        <v>61</v>
      </c>
      <c r="JJX134" t="s">
        <v>61</v>
      </c>
      <c r="JJY134" t="s">
        <v>61</v>
      </c>
      <c r="JJZ134" t="s">
        <v>61</v>
      </c>
      <c r="JKA134" t="s">
        <v>61</v>
      </c>
      <c r="JKB134" t="s">
        <v>61</v>
      </c>
      <c r="JKC134" t="s">
        <v>61</v>
      </c>
      <c r="JKD134" t="s">
        <v>61</v>
      </c>
      <c r="JKE134" t="s">
        <v>61</v>
      </c>
      <c r="JKF134" t="s">
        <v>61</v>
      </c>
      <c r="JKG134" t="s">
        <v>61</v>
      </c>
      <c r="JKH134" t="s">
        <v>61</v>
      </c>
      <c r="JKI134" t="s">
        <v>61</v>
      </c>
      <c r="JKJ134" t="s">
        <v>61</v>
      </c>
      <c r="JKK134" t="s">
        <v>61</v>
      </c>
      <c r="JKL134" t="s">
        <v>61</v>
      </c>
      <c r="JKM134" t="s">
        <v>61</v>
      </c>
      <c r="JKN134" t="s">
        <v>61</v>
      </c>
      <c r="JKO134" t="s">
        <v>61</v>
      </c>
      <c r="JKP134" t="s">
        <v>61</v>
      </c>
      <c r="JKQ134" t="s">
        <v>61</v>
      </c>
      <c r="JKR134" t="s">
        <v>61</v>
      </c>
      <c r="JKS134" t="s">
        <v>61</v>
      </c>
      <c r="JKT134" t="s">
        <v>61</v>
      </c>
      <c r="JKU134" t="s">
        <v>61</v>
      </c>
      <c r="JKV134" t="s">
        <v>61</v>
      </c>
      <c r="JKW134" t="s">
        <v>61</v>
      </c>
      <c r="JKX134" t="s">
        <v>61</v>
      </c>
      <c r="JKY134" t="s">
        <v>61</v>
      </c>
      <c r="JKZ134" t="s">
        <v>61</v>
      </c>
      <c r="JLA134" t="s">
        <v>61</v>
      </c>
      <c r="JLB134" t="s">
        <v>61</v>
      </c>
      <c r="JLC134" t="s">
        <v>61</v>
      </c>
      <c r="JLD134" t="s">
        <v>61</v>
      </c>
      <c r="JLE134" t="s">
        <v>61</v>
      </c>
      <c r="JLF134" t="s">
        <v>61</v>
      </c>
      <c r="JLG134" t="s">
        <v>61</v>
      </c>
      <c r="JLH134" t="s">
        <v>61</v>
      </c>
      <c r="JLI134" t="s">
        <v>61</v>
      </c>
      <c r="JLJ134" t="s">
        <v>61</v>
      </c>
      <c r="JLK134" t="s">
        <v>61</v>
      </c>
      <c r="JLL134" t="s">
        <v>61</v>
      </c>
      <c r="JLM134" t="s">
        <v>61</v>
      </c>
      <c r="JLN134" t="s">
        <v>61</v>
      </c>
      <c r="JLO134" t="s">
        <v>61</v>
      </c>
      <c r="JLP134" t="s">
        <v>61</v>
      </c>
      <c r="JLQ134" t="s">
        <v>61</v>
      </c>
      <c r="JLR134" t="s">
        <v>61</v>
      </c>
      <c r="JLS134" t="s">
        <v>61</v>
      </c>
      <c r="JLT134" t="s">
        <v>61</v>
      </c>
      <c r="JLU134" t="s">
        <v>61</v>
      </c>
      <c r="JLV134" t="s">
        <v>61</v>
      </c>
      <c r="JLW134" t="s">
        <v>61</v>
      </c>
      <c r="JLX134" t="s">
        <v>61</v>
      </c>
      <c r="JLY134" t="s">
        <v>61</v>
      </c>
      <c r="JLZ134" t="s">
        <v>61</v>
      </c>
      <c r="JMA134" t="s">
        <v>61</v>
      </c>
      <c r="JMB134" t="s">
        <v>61</v>
      </c>
      <c r="JMC134" t="s">
        <v>61</v>
      </c>
      <c r="JMD134" t="s">
        <v>61</v>
      </c>
      <c r="JME134" t="s">
        <v>61</v>
      </c>
      <c r="JMF134" t="s">
        <v>61</v>
      </c>
      <c r="JMG134" t="s">
        <v>61</v>
      </c>
      <c r="JMH134" t="s">
        <v>61</v>
      </c>
      <c r="JMI134" t="s">
        <v>61</v>
      </c>
      <c r="JMJ134" t="s">
        <v>61</v>
      </c>
      <c r="JMK134" t="s">
        <v>61</v>
      </c>
      <c r="JML134" t="s">
        <v>61</v>
      </c>
      <c r="JMM134" t="s">
        <v>61</v>
      </c>
      <c r="JMN134" t="s">
        <v>61</v>
      </c>
      <c r="JMO134" t="s">
        <v>61</v>
      </c>
      <c r="JMP134" t="s">
        <v>61</v>
      </c>
      <c r="JMQ134" t="s">
        <v>61</v>
      </c>
      <c r="JMR134" t="s">
        <v>61</v>
      </c>
      <c r="JMS134" t="s">
        <v>61</v>
      </c>
      <c r="JMT134" t="s">
        <v>61</v>
      </c>
      <c r="JMU134" t="s">
        <v>61</v>
      </c>
      <c r="JMV134" t="s">
        <v>61</v>
      </c>
      <c r="JMW134" t="s">
        <v>61</v>
      </c>
      <c r="JMX134" t="s">
        <v>61</v>
      </c>
      <c r="JMY134" t="s">
        <v>61</v>
      </c>
      <c r="JMZ134" t="s">
        <v>61</v>
      </c>
      <c r="JNA134" t="s">
        <v>61</v>
      </c>
      <c r="JNB134" t="s">
        <v>61</v>
      </c>
      <c r="JNC134" t="s">
        <v>61</v>
      </c>
      <c r="JND134" t="s">
        <v>61</v>
      </c>
      <c r="JNE134" t="s">
        <v>61</v>
      </c>
      <c r="JNF134" t="s">
        <v>61</v>
      </c>
      <c r="JNG134" t="s">
        <v>61</v>
      </c>
      <c r="JNH134" t="s">
        <v>61</v>
      </c>
      <c r="JNI134" t="s">
        <v>61</v>
      </c>
      <c r="JNJ134" t="s">
        <v>61</v>
      </c>
      <c r="JNK134" t="s">
        <v>61</v>
      </c>
      <c r="JNL134" t="s">
        <v>61</v>
      </c>
      <c r="JNM134" t="s">
        <v>61</v>
      </c>
      <c r="JNN134" t="s">
        <v>61</v>
      </c>
      <c r="JNO134" t="s">
        <v>61</v>
      </c>
      <c r="JNP134" t="s">
        <v>61</v>
      </c>
      <c r="JNQ134" t="s">
        <v>61</v>
      </c>
      <c r="JNR134" t="s">
        <v>61</v>
      </c>
      <c r="JNS134" t="s">
        <v>61</v>
      </c>
      <c r="JNT134" t="s">
        <v>61</v>
      </c>
      <c r="JNU134" t="s">
        <v>61</v>
      </c>
      <c r="JNV134" t="s">
        <v>61</v>
      </c>
      <c r="JNW134" t="s">
        <v>61</v>
      </c>
      <c r="JNX134" t="s">
        <v>61</v>
      </c>
      <c r="JNY134" t="s">
        <v>61</v>
      </c>
      <c r="JNZ134" t="s">
        <v>61</v>
      </c>
      <c r="JOA134" t="s">
        <v>61</v>
      </c>
      <c r="JOB134" t="s">
        <v>61</v>
      </c>
      <c r="JOC134" t="s">
        <v>61</v>
      </c>
      <c r="JOD134" t="s">
        <v>61</v>
      </c>
      <c r="JOE134" t="s">
        <v>61</v>
      </c>
      <c r="JOF134" t="s">
        <v>61</v>
      </c>
      <c r="JOG134" t="s">
        <v>61</v>
      </c>
      <c r="JOH134" t="s">
        <v>61</v>
      </c>
      <c r="JOI134" t="s">
        <v>61</v>
      </c>
      <c r="JOJ134" t="s">
        <v>61</v>
      </c>
      <c r="JOK134" t="s">
        <v>61</v>
      </c>
      <c r="JOL134" t="s">
        <v>61</v>
      </c>
      <c r="JOM134" t="s">
        <v>61</v>
      </c>
      <c r="JON134" t="s">
        <v>61</v>
      </c>
      <c r="JOO134" t="s">
        <v>61</v>
      </c>
      <c r="JOP134" t="s">
        <v>61</v>
      </c>
      <c r="JOQ134" t="s">
        <v>61</v>
      </c>
      <c r="JOR134" t="s">
        <v>61</v>
      </c>
      <c r="JOS134" t="s">
        <v>61</v>
      </c>
      <c r="JOT134" t="s">
        <v>61</v>
      </c>
      <c r="JOU134" t="s">
        <v>61</v>
      </c>
      <c r="JOV134" t="s">
        <v>61</v>
      </c>
      <c r="JOW134" t="s">
        <v>61</v>
      </c>
      <c r="JOX134" t="s">
        <v>61</v>
      </c>
      <c r="JOY134" t="s">
        <v>61</v>
      </c>
      <c r="JOZ134" t="s">
        <v>61</v>
      </c>
      <c r="JPA134" t="s">
        <v>61</v>
      </c>
      <c r="JPB134" t="s">
        <v>61</v>
      </c>
      <c r="JPC134" t="s">
        <v>61</v>
      </c>
      <c r="JPD134" t="s">
        <v>61</v>
      </c>
      <c r="JPE134" t="s">
        <v>61</v>
      </c>
      <c r="JPF134" t="s">
        <v>61</v>
      </c>
      <c r="JPG134" t="s">
        <v>61</v>
      </c>
      <c r="JPH134" t="s">
        <v>61</v>
      </c>
      <c r="JPI134" t="s">
        <v>61</v>
      </c>
      <c r="JPJ134" t="s">
        <v>61</v>
      </c>
      <c r="JPK134" t="s">
        <v>61</v>
      </c>
      <c r="JPL134" t="s">
        <v>61</v>
      </c>
      <c r="JPM134" t="s">
        <v>61</v>
      </c>
      <c r="JPN134" t="s">
        <v>61</v>
      </c>
      <c r="JPO134" t="s">
        <v>61</v>
      </c>
      <c r="JPP134" t="s">
        <v>61</v>
      </c>
      <c r="JPQ134" t="s">
        <v>61</v>
      </c>
      <c r="JPR134" t="s">
        <v>61</v>
      </c>
      <c r="JPS134" t="s">
        <v>61</v>
      </c>
      <c r="JPT134" t="s">
        <v>61</v>
      </c>
      <c r="JPU134" t="s">
        <v>61</v>
      </c>
      <c r="JPV134" t="s">
        <v>61</v>
      </c>
      <c r="JPW134" t="s">
        <v>61</v>
      </c>
      <c r="JPX134" t="s">
        <v>61</v>
      </c>
      <c r="JPY134" t="s">
        <v>61</v>
      </c>
      <c r="JPZ134" t="s">
        <v>61</v>
      </c>
      <c r="JQA134" t="s">
        <v>61</v>
      </c>
      <c r="JQB134" t="s">
        <v>61</v>
      </c>
      <c r="JQC134" t="s">
        <v>61</v>
      </c>
      <c r="JQD134" t="s">
        <v>61</v>
      </c>
      <c r="JQE134" t="s">
        <v>61</v>
      </c>
      <c r="JQF134" t="s">
        <v>61</v>
      </c>
      <c r="JQG134" t="s">
        <v>61</v>
      </c>
      <c r="JQH134" t="s">
        <v>61</v>
      </c>
      <c r="JQI134" t="s">
        <v>61</v>
      </c>
      <c r="JQJ134" t="s">
        <v>61</v>
      </c>
      <c r="JQK134" t="s">
        <v>61</v>
      </c>
      <c r="JQL134" t="s">
        <v>61</v>
      </c>
      <c r="JQM134" t="s">
        <v>61</v>
      </c>
      <c r="JQN134" t="s">
        <v>61</v>
      </c>
      <c r="JQO134" t="s">
        <v>61</v>
      </c>
      <c r="JQP134" t="s">
        <v>61</v>
      </c>
      <c r="JQQ134" t="s">
        <v>61</v>
      </c>
      <c r="JQR134" t="s">
        <v>61</v>
      </c>
      <c r="JQS134" t="s">
        <v>61</v>
      </c>
      <c r="JQT134" t="s">
        <v>61</v>
      </c>
      <c r="JQU134" t="s">
        <v>61</v>
      </c>
      <c r="JQV134" t="s">
        <v>61</v>
      </c>
      <c r="JQW134" t="s">
        <v>61</v>
      </c>
      <c r="JQX134" t="s">
        <v>61</v>
      </c>
      <c r="JQY134" t="s">
        <v>61</v>
      </c>
      <c r="JQZ134" t="s">
        <v>61</v>
      </c>
      <c r="JRA134" t="s">
        <v>61</v>
      </c>
      <c r="JRB134" t="s">
        <v>61</v>
      </c>
      <c r="JRC134" t="s">
        <v>61</v>
      </c>
      <c r="JRD134" t="s">
        <v>61</v>
      </c>
      <c r="JRE134" t="s">
        <v>61</v>
      </c>
      <c r="JRF134" t="s">
        <v>61</v>
      </c>
      <c r="JRG134" t="s">
        <v>61</v>
      </c>
      <c r="JRH134" t="s">
        <v>61</v>
      </c>
      <c r="JRI134" t="s">
        <v>61</v>
      </c>
      <c r="JRJ134" t="s">
        <v>61</v>
      </c>
      <c r="JRK134" t="s">
        <v>61</v>
      </c>
      <c r="JRL134" t="s">
        <v>61</v>
      </c>
      <c r="JRM134" t="s">
        <v>61</v>
      </c>
      <c r="JRN134" t="s">
        <v>61</v>
      </c>
      <c r="JRO134" t="s">
        <v>61</v>
      </c>
      <c r="JRP134" t="s">
        <v>61</v>
      </c>
      <c r="JRQ134" t="s">
        <v>61</v>
      </c>
      <c r="JRR134" t="s">
        <v>61</v>
      </c>
      <c r="JRS134" t="s">
        <v>61</v>
      </c>
      <c r="JRT134" t="s">
        <v>61</v>
      </c>
      <c r="JRU134" t="s">
        <v>61</v>
      </c>
      <c r="JRV134" t="s">
        <v>61</v>
      </c>
      <c r="JRW134" t="s">
        <v>61</v>
      </c>
      <c r="JRX134" t="s">
        <v>61</v>
      </c>
      <c r="JRY134" t="s">
        <v>61</v>
      </c>
      <c r="JRZ134" t="s">
        <v>61</v>
      </c>
      <c r="JSA134" t="s">
        <v>61</v>
      </c>
      <c r="JSB134" t="s">
        <v>61</v>
      </c>
      <c r="JSC134" t="s">
        <v>61</v>
      </c>
      <c r="JSD134" t="s">
        <v>61</v>
      </c>
      <c r="JSE134" t="s">
        <v>61</v>
      </c>
      <c r="JSF134" t="s">
        <v>61</v>
      </c>
      <c r="JSG134" t="s">
        <v>61</v>
      </c>
      <c r="JSH134" t="s">
        <v>61</v>
      </c>
      <c r="JSI134" t="s">
        <v>61</v>
      </c>
      <c r="JSJ134" t="s">
        <v>61</v>
      </c>
      <c r="JSK134" t="s">
        <v>61</v>
      </c>
      <c r="JSL134" t="s">
        <v>61</v>
      </c>
      <c r="JSM134" t="s">
        <v>61</v>
      </c>
      <c r="JSN134" t="s">
        <v>61</v>
      </c>
      <c r="JSO134" t="s">
        <v>61</v>
      </c>
      <c r="JSP134" t="s">
        <v>61</v>
      </c>
      <c r="JSQ134" t="s">
        <v>61</v>
      </c>
      <c r="JSR134" t="s">
        <v>61</v>
      </c>
      <c r="JSS134" t="s">
        <v>61</v>
      </c>
      <c r="JST134" t="s">
        <v>61</v>
      </c>
      <c r="JSU134" t="s">
        <v>61</v>
      </c>
      <c r="JSV134" t="s">
        <v>61</v>
      </c>
      <c r="JSW134" t="s">
        <v>61</v>
      </c>
      <c r="JSX134" t="s">
        <v>61</v>
      </c>
      <c r="JSY134" t="s">
        <v>61</v>
      </c>
      <c r="JSZ134" t="s">
        <v>61</v>
      </c>
      <c r="JTA134" t="s">
        <v>61</v>
      </c>
      <c r="JTB134" t="s">
        <v>61</v>
      </c>
      <c r="JTC134" t="s">
        <v>61</v>
      </c>
      <c r="JTD134" t="s">
        <v>61</v>
      </c>
      <c r="JTE134" t="s">
        <v>61</v>
      </c>
      <c r="JTF134" t="s">
        <v>61</v>
      </c>
      <c r="JTG134" t="s">
        <v>61</v>
      </c>
      <c r="JTH134" t="s">
        <v>61</v>
      </c>
      <c r="JTI134" t="s">
        <v>61</v>
      </c>
      <c r="JTJ134" t="s">
        <v>61</v>
      </c>
      <c r="JTK134" t="s">
        <v>61</v>
      </c>
      <c r="JTL134" t="s">
        <v>61</v>
      </c>
      <c r="JTM134" t="s">
        <v>61</v>
      </c>
      <c r="JTN134" t="s">
        <v>61</v>
      </c>
      <c r="JTO134" t="s">
        <v>61</v>
      </c>
      <c r="JTP134" t="s">
        <v>61</v>
      </c>
      <c r="JTQ134" t="s">
        <v>61</v>
      </c>
      <c r="JTR134" t="s">
        <v>61</v>
      </c>
      <c r="JTS134" t="s">
        <v>61</v>
      </c>
      <c r="JTT134" t="s">
        <v>61</v>
      </c>
      <c r="JTU134" t="s">
        <v>61</v>
      </c>
      <c r="JTV134" t="s">
        <v>61</v>
      </c>
      <c r="JTW134" t="s">
        <v>61</v>
      </c>
      <c r="JTX134" t="s">
        <v>61</v>
      </c>
      <c r="JTY134" t="s">
        <v>61</v>
      </c>
      <c r="JTZ134" t="s">
        <v>61</v>
      </c>
      <c r="JUA134" t="s">
        <v>61</v>
      </c>
      <c r="JUB134" t="s">
        <v>61</v>
      </c>
      <c r="JUC134" t="s">
        <v>61</v>
      </c>
      <c r="JUD134" t="s">
        <v>61</v>
      </c>
      <c r="JUE134" t="s">
        <v>61</v>
      </c>
      <c r="JUF134" t="s">
        <v>61</v>
      </c>
      <c r="JUG134" t="s">
        <v>61</v>
      </c>
      <c r="JUH134" t="s">
        <v>61</v>
      </c>
      <c r="JUI134" t="s">
        <v>61</v>
      </c>
      <c r="JUJ134" t="s">
        <v>61</v>
      </c>
      <c r="JUK134" t="s">
        <v>61</v>
      </c>
      <c r="JUL134" t="s">
        <v>61</v>
      </c>
      <c r="JUM134" t="s">
        <v>61</v>
      </c>
      <c r="JUN134" t="s">
        <v>61</v>
      </c>
      <c r="JUO134" t="s">
        <v>61</v>
      </c>
      <c r="JUP134" t="s">
        <v>61</v>
      </c>
      <c r="JUQ134" t="s">
        <v>61</v>
      </c>
      <c r="JUR134" t="s">
        <v>61</v>
      </c>
      <c r="JUS134" t="s">
        <v>61</v>
      </c>
      <c r="JUT134" t="s">
        <v>61</v>
      </c>
      <c r="JUU134" t="s">
        <v>61</v>
      </c>
      <c r="JUV134" t="s">
        <v>61</v>
      </c>
      <c r="JUW134" t="s">
        <v>61</v>
      </c>
      <c r="JUX134" t="s">
        <v>61</v>
      </c>
      <c r="JUY134" t="s">
        <v>61</v>
      </c>
      <c r="JUZ134" t="s">
        <v>61</v>
      </c>
      <c r="JVA134" t="s">
        <v>61</v>
      </c>
      <c r="JVB134" t="s">
        <v>61</v>
      </c>
      <c r="JVC134" t="s">
        <v>61</v>
      </c>
      <c r="JVD134" t="s">
        <v>61</v>
      </c>
      <c r="JVE134" t="s">
        <v>61</v>
      </c>
      <c r="JVF134" t="s">
        <v>61</v>
      </c>
      <c r="JVG134" t="s">
        <v>61</v>
      </c>
      <c r="JVH134" t="s">
        <v>61</v>
      </c>
      <c r="JVI134" t="s">
        <v>61</v>
      </c>
      <c r="JVJ134" t="s">
        <v>61</v>
      </c>
      <c r="JVK134" t="s">
        <v>61</v>
      </c>
      <c r="JVL134" t="s">
        <v>61</v>
      </c>
      <c r="JVM134" t="s">
        <v>61</v>
      </c>
      <c r="JVN134" t="s">
        <v>61</v>
      </c>
      <c r="JVO134" t="s">
        <v>61</v>
      </c>
      <c r="JVP134" t="s">
        <v>61</v>
      </c>
      <c r="JVQ134" t="s">
        <v>61</v>
      </c>
      <c r="JVR134" t="s">
        <v>61</v>
      </c>
      <c r="JVS134" t="s">
        <v>61</v>
      </c>
      <c r="JVT134" t="s">
        <v>61</v>
      </c>
      <c r="JVU134" t="s">
        <v>61</v>
      </c>
      <c r="JVV134" t="s">
        <v>61</v>
      </c>
      <c r="JVW134" t="s">
        <v>61</v>
      </c>
      <c r="JVX134" t="s">
        <v>61</v>
      </c>
      <c r="JVY134" t="s">
        <v>61</v>
      </c>
      <c r="JVZ134" t="s">
        <v>61</v>
      </c>
      <c r="JWA134" t="s">
        <v>61</v>
      </c>
      <c r="JWB134" t="s">
        <v>61</v>
      </c>
      <c r="JWC134" t="s">
        <v>61</v>
      </c>
      <c r="JWD134" t="s">
        <v>61</v>
      </c>
      <c r="JWE134" t="s">
        <v>61</v>
      </c>
      <c r="JWF134" t="s">
        <v>61</v>
      </c>
      <c r="JWG134" t="s">
        <v>61</v>
      </c>
      <c r="JWH134" t="s">
        <v>61</v>
      </c>
      <c r="JWI134" t="s">
        <v>61</v>
      </c>
      <c r="JWJ134" t="s">
        <v>61</v>
      </c>
      <c r="JWK134" t="s">
        <v>61</v>
      </c>
      <c r="JWL134" t="s">
        <v>61</v>
      </c>
      <c r="JWM134" t="s">
        <v>61</v>
      </c>
      <c r="JWN134" t="s">
        <v>61</v>
      </c>
      <c r="JWO134" t="s">
        <v>61</v>
      </c>
      <c r="JWP134" t="s">
        <v>61</v>
      </c>
      <c r="JWQ134" t="s">
        <v>61</v>
      </c>
      <c r="JWR134" t="s">
        <v>61</v>
      </c>
      <c r="JWS134" t="s">
        <v>61</v>
      </c>
      <c r="JWT134" t="s">
        <v>61</v>
      </c>
      <c r="JWU134" t="s">
        <v>61</v>
      </c>
      <c r="JWV134" t="s">
        <v>61</v>
      </c>
      <c r="JWW134" t="s">
        <v>61</v>
      </c>
      <c r="JWX134" t="s">
        <v>61</v>
      </c>
      <c r="JWY134" t="s">
        <v>61</v>
      </c>
      <c r="JWZ134" t="s">
        <v>61</v>
      </c>
      <c r="JXA134" t="s">
        <v>61</v>
      </c>
      <c r="JXB134" t="s">
        <v>61</v>
      </c>
      <c r="JXC134" t="s">
        <v>61</v>
      </c>
      <c r="JXD134" t="s">
        <v>61</v>
      </c>
      <c r="JXE134" t="s">
        <v>61</v>
      </c>
      <c r="JXF134" t="s">
        <v>61</v>
      </c>
      <c r="JXG134" t="s">
        <v>61</v>
      </c>
      <c r="JXH134" t="s">
        <v>61</v>
      </c>
      <c r="JXI134" t="s">
        <v>61</v>
      </c>
      <c r="JXJ134" t="s">
        <v>61</v>
      </c>
      <c r="JXK134" t="s">
        <v>61</v>
      </c>
      <c r="JXL134" t="s">
        <v>61</v>
      </c>
      <c r="JXM134" t="s">
        <v>61</v>
      </c>
      <c r="JXN134" t="s">
        <v>61</v>
      </c>
      <c r="JXO134" t="s">
        <v>61</v>
      </c>
      <c r="JXP134" t="s">
        <v>61</v>
      </c>
      <c r="JXQ134" t="s">
        <v>61</v>
      </c>
      <c r="JXR134" t="s">
        <v>61</v>
      </c>
      <c r="JXS134" t="s">
        <v>61</v>
      </c>
      <c r="JXT134" t="s">
        <v>61</v>
      </c>
      <c r="JXU134" t="s">
        <v>61</v>
      </c>
      <c r="JXV134" t="s">
        <v>61</v>
      </c>
      <c r="JXW134" t="s">
        <v>61</v>
      </c>
      <c r="JXX134" t="s">
        <v>61</v>
      </c>
      <c r="JXY134" t="s">
        <v>61</v>
      </c>
      <c r="JXZ134" t="s">
        <v>61</v>
      </c>
      <c r="JYA134" t="s">
        <v>61</v>
      </c>
      <c r="JYB134" t="s">
        <v>61</v>
      </c>
      <c r="JYC134" t="s">
        <v>61</v>
      </c>
      <c r="JYD134" t="s">
        <v>61</v>
      </c>
      <c r="JYE134" t="s">
        <v>61</v>
      </c>
      <c r="JYF134" t="s">
        <v>61</v>
      </c>
      <c r="JYG134" t="s">
        <v>61</v>
      </c>
      <c r="JYH134" t="s">
        <v>61</v>
      </c>
      <c r="JYI134" t="s">
        <v>61</v>
      </c>
      <c r="JYJ134" t="s">
        <v>61</v>
      </c>
      <c r="JYK134" t="s">
        <v>61</v>
      </c>
      <c r="JYL134" t="s">
        <v>61</v>
      </c>
      <c r="JYM134" t="s">
        <v>61</v>
      </c>
      <c r="JYN134" t="s">
        <v>61</v>
      </c>
      <c r="JYO134" t="s">
        <v>61</v>
      </c>
      <c r="JYP134" t="s">
        <v>61</v>
      </c>
      <c r="JYQ134" t="s">
        <v>61</v>
      </c>
      <c r="JYR134" t="s">
        <v>61</v>
      </c>
      <c r="JYS134" t="s">
        <v>61</v>
      </c>
      <c r="JYT134" t="s">
        <v>61</v>
      </c>
      <c r="JYU134" t="s">
        <v>61</v>
      </c>
      <c r="JYV134" t="s">
        <v>61</v>
      </c>
      <c r="JYW134" t="s">
        <v>61</v>
      </c>
      <c r="JYX134" t="s">
        <v>61</v>
      </c>
      <c r="JYY134" t="s">
        <v>61</v>
      </c>
      <c r="JYZ134" t="s">
        <v>61</v>
      </c>
      <c r="JZA134" t="s">
        <v>61</v>
      </c>
      <c r="JZB134" t="s">
        <v>61</v>
      </c>
      <c r="JZC134" t="s">
        <v>61</v>
      </c>
      <c r="JZD134" t="s">
        <v>61</v>
      </c>
      <c r="JZE134" t="s">
        <v>61</v>
      </c>
      <c r="JZF134" t="s">
        <v>61</v>
      </c>
      <c r="JZG134" t="s">
        <v>61</v>
      </c>
      <c r="JZH134" t="s">
        <v>61</v>
      </c>
      <c r="JZI134" t="s">
        <v>61</v>
      </c>
      <c r="JZJ134" t="s">
        <v>61</v>
      </c>
      <c r="JZK134" t="s">
        <v>61</v>
      </c>
      <c r="JZL134" t="s">
        <v>61</v>
      </c>
      <c r="JZM134" t="s">
        <v>61</v>
      </c>
      <c r="JZN134" t="s">
        <v>61</v>
      </c>
      <c r="JZO134" t="s">
        <v>61</v>
      </c>
      <c r="JZP134" t="s">
        <v>61</v>
      </c>
      <c r="JZQ134" t="s">
        <v>61</v>
      </c>
      <c r="JZR134" t="s">
        <v>61</v>
      </c>
      <c r="JZS134" t="s">
        <v>61</v>
      </c>
      <c r="JZT134" t="s">
        <v>61</v>
      </c>
      <c r="JZU134" t="s">
        <v>61</v>
      </c>
      <c r="JZV134" t="s">
        <v>61</v>
      </c>
      <c r="JZW134" t="s">
        <v>61</v>
      </c>
      <c r="JZX134" t="s">
        <v>61</v>
      </c>
      <c r="JZY134" t="s">
        <v>61</v>
      </c>
      <c r="JZZ134" t="s">
        <v>61</v>
      </c>
      <c r="KAA134" t="s">
        <v>61</v>
      </c>
      <c r="KAB134" t="s">
        <v>61</v>
      </c>
      <c r="KAC134" t="s">
        <v>61</v>
      </c>
      <c r="KAD134" t="s">
        <v>61</v>
      </c>
      <c r="KAE134" t="s">
        <v>61</v>
      </c>
      <c r="KAF134" t="s">
        <v>61</v>
      </c>
      <c r="KAG134" t="s">
        <v>61</v>
      </c>
      <c r="KAH134" t="s">
        <v>61</v>
      </c>
      <c r="KAI134" t="s">
        <v>61</v>
      </c>
      <c r="KAJ134" t="s">
        <v>61</v>
      </c>
      <c r="KAK134" t="s">
        <v>61</v>
      </c>
      <c r="KAL134" t="s">
        <v>61</v>
      </c>
      <c r="KAM134" t="s">
        <v>61</v>
      </c>
      <c r="KAN134" t="s">
        <v>61</v>
      </c>
      <c r="KAO134" t="s">
        <v>61</v>
      </c>
      <c r="KAP134" t="s">
        <v>61</v>
      </c>
      <c r="KAQ134" t="s">
        <v>61</v>
      </c>
      <c r="KAR134" t="s">
        <v>61</v>
      </c>
      <c r="KAS134" t="s">
        <v>61</v>
      </c>
      <c r="KAT134" t="s">
        <v>61</v>
      </c>
      <c r="KAU134" t="s">
        <v>61</v>
      </c>
      <c r="KAV134" t="s">
        <v>61</v>
      </c>
      <c r="KAW134" t="s">
        <v>61</v>
      </c>
      <c r="KAX134" t="s">
        <v>61</v>
      </c>
      <c r="KAY134" t="s">
        <v>61</v>
      </c>
      <c r="KAZ134" t="s">
        <v>61</v>
      </c>
      <c r="KBA134" t="s">
        <v>61</v>
      </c>
      <c r="KBB134" t="s">
        <v>61</v>
      </c>
      <c r="KBC134" t="s">
        <v>61</v>
      </c>
      <c r="KBD134" t="s">
        <v>61</v>
      </c>
      <c r="KBE134" t="s">
        <v>61</v>
      </c>
      <c r="KBF134" t="s">
        <v>61</v>
      </c>
      <c r="KBG134" t="s">
        <v>61</v>
      </c>
      <c r="KBH134" t="s">
        <v>61</v>
      </c>
      <c r="KBI134" t="s">
        <v>61</v>
      </c>
      <c r="KBJ134" t="s">
        <v>61</v>
      </c>
      <c r="KBK134" t="s">
        <v>61</v>
      </c>
      <c r="KBL134" t="s">
        <v>61</v>
      </c>
      <c r="KBM134" t="s">
        <v>61</v>
      </c>
      <c r="KBN134" t="s">
        <v>61</v>
      </c>
      <c r="KBO134" t="s">
        <v>61</v>
      </c>
      <c r="KBP134" t="s">
        <v>61</v>
      </c>
      <c r="KBQ134" t="s">
        <v>61</v>
      </c>
      <c r="KBR134" t="s">
        <v>61</v>
      </c>
      <c r="KBS134" t="s">
        <v>61</v>
      </c>
      <c r="KBT134" t="s">
        <v>61</v>
      </c>
      <c r="KBU134" t="s">
        <v>61</v>
      </c>
      <c r="KBV134" t="s">
        <v>61</v>
      </c>
      <c r="KBW134" t="s">
        <v>61</v>
      </c>
      <c r="KBX134" t="s">
        <v>61</v>
      </c>
      <c r="KBY134" t="s">
        <v>61</v>
      </c>
      <c r="KBZ134" t="s">
        <v>61</v>
      </c>
      <c r="KCA134" t="s">
        <v>61</v>
      </c>
      <c r="KCB134" t="s">
        <v>61</v>
      </c>
      <c r="KCC134" t="s">
        <v>61</v>
      </c>
      <c r="KCD134" t="s">
        <v>61</v>
      </c>
      <c r="KCE134" t="s">
        <v>61</v>
      </c>
      <c r="KCF134" t="s">
        <v>61</v>
      </c>
      <c r="KCG134" t="s">
        <v>61</v>
      </c>
      <c r="KCH134" t="s">
        <v>61</v>
      </c>
      <c r="KCI134" t="s">
        <v>61</v>
      </c>
      <c r="KCJ134" t="s">
        <v>61</v>
      </c>
      <c r="KCK134" t="s">
        <v>61</v>
      </c>
      <c r="KCL134" t="s">
        <v>61</v>
      </c>
      <c r="KCM134" t="s">
        <v>61</v>
      </c>
      <c r="KCN134" t="s">
        <v>61</v>
      </c>
      <c r="KCO134" t="s">
        <v>61</v>
      </c>
      <c r="KCP134" t="s">
        <v>61</v>
      </c>
      <c r="KCQ134" t="s">
        <v>61</v>
      </c>
      <c r="KCR134" t="s">
        <v>61</v>
      </c>
      <c r="KCS134" t="s">
        <v>61</v>
      </c>
      <c r="KCT134" t="s">
        <v>61</v>
      </c>
      <c r="KCU134" t="s">
        <v>61</v>
      </c>
      <c r="KCV134" t="s">
        <v>61</v>
      </c>
      <c r="KCW134" t="s">
        <v>61</v>
      </c>
      <c r="KCX134" t="s">
        <v>61</v>
      </c>
      <c r="KCY134" t="s">
        <v>61</v>
      </c>
      <c r="KCZ134" t="s">
        <v>61</v>
      </c>
      <c r="KDA134" t="s">
        <v>61</v>
      </c>
      <c r="KDB134" t="s">
        <v>61</v>
      </c>
      <c r="KDC134" t="s">
        <v>61</v>
      </c>
      <c r="KDD134" t="s">
        <v>61</v>
      </c>
      <c r="KDE134" t="s">
        <v>61</v>
      </c>
      <c r="KDF134" t="s">
        <v>61</v>
      </c>
      <c r="KDG134" t="s">
        <v>61</v>
      </c>
      <c r="KDH134" t="s">
        <v>61</v>
      </c>
      <c r="KDI134" t="s">
        <v>61</v>
      </c>
      <c r="KDJ134" t="s">
        <v>61</v>
      </c>
      <c r="KDK134" t="s">
        <v>61</v>
      </c>
      <c r="KDL134" t="s">
        <v>61</v>
      </c>
      <c r="KDM134" t="s">
        <v>61</v>
      </c>
      <c r="KDN134" t="s">
        <v>61</v>
      </c>
      <c r="KDO134" t="s">
        <v>61</v>
      </c>
      <c r="KDP134" t="s">
        <v>61</v>
      </c>
      <c r="KDQ134" t="s">
        <v>61</v>
      </c>
      <c r="KDR134" t="s">
        <v>61</v>
      </c>
      <c r="KDS134" t="s">
        <v>61</v>
      </c>
      <c r="KDT134" t="s">
        <v>61</v>
      </c>
      <c r="KDU134" t="s">
        <v>61</v>
      </c>
      <c r="KDV134" t="s">
        <v>61</v>
      </c>
      <c r="KDW134" t="s">
        <v>61</v>
      </c>
      <c r="KDX134" t="s">
        <v>61</v>
      </c>
      <c r="KDY134" t="s">
        <v>61</v>
      </c>
      <c r="KDZ134" t="s">
        <v>61</v>
      </c>
      <c r="KEA134" t="s">
        <v>61</v>
      </c>
      <c r="KEB134" t="s">
        <v>61</v>
      </c>
      <c r="KEC134" t="s">
        <v>61</v>
      </c>
      <c r="KED134" t="s">
        <v>61</v>
      </c>
      <c r="KEE134" t="s">
        <v>61</v>
      </c>
      <c r="KEF134" t="s">
        <v>61</v>
      </c>
      <c r="KEG134" t="s">
        <v>61</v>
      </c>
      <c r="KEH134" t="s">
        <v>61</v>
      </c>
      <c r="KEI134" t="s">
        <v>61</v>
      </c>
      <c r="KEJ134" t="s">
        <v>61</v>
      </c>
      <c r="KEK134" t="s">
        <v>61</v>
      </c>
      <c r="KEL134" t="s">
        <v>61</v>
      </c>
      <c r="KEM134" t="s">
        <v>61</v>
      </c>
      <c r="KEN134" t="s">
        <v>61</v>
      </c>
      <c r="KEO134" t="s">
        <v>61</v>
      </c>
      <c r="KEP134" t="s">
        <v>61</v>
      </c>
      <c r="KEQ134" t="s">
        <v>61</v>
      </c>
      <c r="KER134" t="s">
        <v>61</v>
      </c>
      <c r="KES134" t="s">
        <v>61</v>
      </c>
      <c r="KET134" t="s">
        <v>61</v>
      </c>
      <c r="KEU134" t="s">
        <v>61</v>
      </c>
      <c r="KEV134" t="s">
        <v>61</v>
      </c>
      <c r="KEW134" t="s">
        <v>61</v>
      </c>
      <c r="KEX134" t="s">
        <v>61</v>
      </c>
      <c r="KEY134" t="s">
        <v>61</v>
      </c>
      <c r="KEZ134" t="s">
        <v>61</v>
      </c>
      <c r="KFA134" t="s">
        <v>61</v>
      </c>
      <c r="KFB134" t="s">
        <v>61</v>
      </c>
      <c r="KFC134" t="s">
        <v>61</v>
      </c>
      <c r="KFD134" t="s">
        <v>61</v>
      </c>
      <c r="KFE134" t="s">
        <v>61</v>
      </c>
      <c r="KFF134" t="s">
        <v>61</v>
      </c>
      <c r="KFG134" t="s">
        <v>61</v>
      </c>
      <c r="KFH134" t="s">
        <v>61</v>
      </c>
      <c r="KFI134" t="s">
        <v>61</v>
      </c>
      <c r="KFJ134" t="s">
        <v>61</v>
      </c>
      <c r="KFK134" t="s">
        <v>61</v>
      </c>
      <c r="KFL134" t="s">
        <v>61</v>
      </c>
      <c r="KFM134" t="s">
        <v>61</v>
      </c>
      <c r="KFN134" t="s">
        <v>61</v>
      </c>
      <c r="KFO134" t="s">
        <v>61</v>
      </c>
      <c r="KFP134" t="s">
        <v>61</v>
      </c>
      <c r="KFQ134" t="s">
        <v>61</v>
      </c>
      <c r="KFR134" t="s">
        <v>61</v>
      </c>
      <c r="KFS134" t="s">
        <v>61</v>
      </c>
      <c r="KFT134" t="s">
        <v>61</v>
      </c>
      <c r="KFU134" t="s">
        <v>61</v>
      </c>
      <c r="KFV134" t="s">
        <v>61</v>
      </c>
      <c r="KFW134" t="s">
        <v>61</v>
      </c>
      <c r="KFX134" t="s">
        <v>61</v>
      </c>
      <c r="KFY134" t="s">
        <v>61</v>
      </c>
      <c r="KFZ134" t="s">
        <v>61</v>
      </c>
      <c r="KGA134" t="s">
        <v>61</v>
      </c>
      <c r="KGB134" t="s">
        <v>61</v>
      </c>
      <c r="KGC134" t="s">
        <v>61</v>
      </c>
      <c r="KGD134" t="s">
        <v>61</v>
      </c>
      <c r="KGE134" t="s">
        <v>61</v>
      </c>
      <c r="KGF134" t="s">
        <v>61</v>
      </c>
      <c r="KGG134" t="s">
        <v>61</v>
      </c>
      <c r="KGH134" t="s">
        <v>61</v>
      </c>
      <c r="KGI134" t="s">
        <v>61</v>
      </c>
      <c r="KGJ134" t="s">
        <v>61</v>
      </c>
      <c r="KGK134" t="s">
        <v>61</v>
      </c>
      <c r="KGL134" t="s">
        <v>61</v>
      </c>
      <c r="KGM134" t="s">
        <v>61</v>
      </c>
      <c r="KGN134" t="s">
        <v>61</v>
      </c>
      <c r="KGO134" t="s">
        <v>61</v>
      </c>
      <c r="KGP134" t="s">
        <v>61</v>
      </c>
      <c r="KGQ134" t="s">
        <v>61</v>
      </c>
      <c r="KGR134" t="s">
        <v>61</v>
      </c>
      <c r="KGS134" t="s">
        <v>61</v>
      </c>
      <c r="KGT134" t="s">
        <v>61</v>
      </c>
      <c r="KGU134" t="s">
        <v>61</v>
      </c>
      <c r="KGV134" t="s">
        <v>61</v>
      </c>
      <c r="KGW134" t="s">
        <v>61</v>
      </c>
      <c r="KGX134" t="s">
        <v>61</v>
      </c>
      <c r="KGY134" t="s">
        <v>61</v>
      </c>
      <c r="KGZ134" t="s">
        <v>61</v>
      </c>
      <c r="KHA134" t="s">
        <v>61</v>
      </c>
      <c r="KHB134" t="s">
        <v>61</v>
      </c>
      <c r="KHC134" t="s">
        <v>61</v>
      </c>
      <c r="KHD134" t="s">
        <v>61</v>
      </c>
      <c r="KHE134" t="s">
        <v>61</v>
      </c>
      <c r="KHF134" t="s">
        <v>61</v>
      </c>
      <c r="KHG134" t="s">
        <v>61</v>
      </c>
      <c r="KHH134" t="s">
        <v>61</v>
      </c>
      <c r="KHI134" t="s">
        <v>61</v>
      </c>
      <c r="KHJ134" t="s">
        <v>61</v>
      </c>
      <c r="KHK134" t="s">
        <v>61</v>
      </c>
      <c r="KHL134" t="s">
        <v>61</v>
      </c>
      <c r="KHM134" t="s">
        <v>61</v>
      </c>
      <c r="KHN134" t="s">
        <v>61</v>
      </c>
      <c r="KHO134" t="s">
        <v>61</v>
      </c>
      <c r="KHP134" t="s">
        <v>61</v>
      </c>
      <c r="KHQ134" t="s">
        <v>61</v>
      </c>
      <c r="KHR134" t="s">
        <v>61</v>
      </c>
      <c r="KHS134" t="s">
        <v>61</v>
      </c>
      <c r="KHT134" t="s">
        <v>61</v>
      </c>
      <c r="KHU134" t="s">
        <v>61</v>
      </c>
      <c r="KHV134" t="s">
        <v>61</v>
      </c>
      <c r="KHW134" t="s">
        <v>61</v>
      </c>
      <c r="KHX134" t="s">
        <v>61</v>
      </c>
      <c r="KHY134" t="s">
        <v>61</v>
      </c>
      <c r="KHZ134" t="s">
        <v>61</v>
      </c>
      <c r="KIA134" t="s">
        <v>61</v>
      </c>
      <c r="KIB134" t="s">
        <v>61</v>
      </c>
      <c r="KIC134" t="s">
        <v>61</v>
      </c>
      <c r="KID134" t="s">
        <v>61</v>
      </c>
      <c r="KIE134" t="s">
        <v>61</v>
      </c>
      <c r="KIF134" t="s">
        <v>61</v>
      </c>
      <c r="KIG134" t="s">
        <v>61</v>
      </c>
      <c r="KIH134" t="s">
        <v>61</v>
      </c>
      <c r="KII134" t="s">
        <v>61</v>
      </c>
      <c r="KIJ134" t="s">
        <v>61</v>
      </c>
      <c r="KIK134" t="s">
        <v>61</v>
      </c>
      <c r="KIL134" t="s">
        <v>61</v>
      </c>
      <c r="KIM134" t="s">
        <v>61</v>
      </c>
      <c r="KIN134" t="s">
        <v>61</v>
      </c>
      <c r="KIO134" t="s">
        <v>61</v>
      </c>
      <c r="KIP134" t="s">
        <v>61</v>
      </c>
      <c r="KIQ134" t="s">
        <v>61</v>
      </c>
      <c r="KIR134" t="s">
        <v>61</v>
      </c>
      <c r="KIS134" t="s">
        <v>61</v>
      </c>
      <c r="KIT134" t="s">
        <v>61</v>
      </c>
      <c r="KIU134" t="s">
        <v>61</v>
      </c>
      <c r="KIV134" t="s">
        <v>61</v>
      </c>
      <c r="KIW134" t="s">
        <v>61</v>
      </c>
      <c r="KIX134" t="s">
        <v>61</v>
      </c>
      <c r="KIY134" t="s">
        <v>61</v>
      </c>
      <c r="KIZ134" t="s">
        <v>61</v>
      </c>
      <c r="KJA134" t="s">
        <v>61</v>
      </c>
      <c r="KJB134" t="s">
        <v>61</v>
      </c>
      <c r="KJC134" t="s">
        <v>61</v>
      </c>
      <c r="KJD134" t="s">
        <v>61</v>
      </c>
      <c r="KJE134" t="s">
        <v>61</v>
      </c>
      <c r="KJF134" t="s">
        <v>61</v>
      </c>
      <c r="KJG134" t="s">
        <v>61</v>
      </c>
      <c r="KJH134" t="s">
        <v>61</v>
      </c>
      <c r="KJI134" t="s">
        <v>61</v>
      </c>
      <c r="KJJ134" t="s">
        <v>61</v>
      </c>
      <c r="KJK134" t="s">
        <v>61</v>
      </c>
      <c r="KJL134" t="s">
        <v>61</v>
      </c>
      <c r="KJM134" t="s">
        <v>61</v>
      </c>
      <c r="KJN134" t="s">
        <v>61</v>
      </c>
      <c r="KJO134" t="s">
        <v>61</v>
      </c>
      <c r="KJP134" t="s">
        <v>61</v>
      </c>
      <c r="KJQ134" t="s">
        <v>61</v>
      </c>
      <c r="KJR134" t="s">
        <v>61</v>
      </c>
      <c r="KJS134" t="s">
        <v>61</v>
      </c>
      <c r="KJT134" t="s">
        <v>61</v>
      </c>
      <c r="KJU134" t="s">
        <v>61</v>
      </c>
      <c r="KJV134" t="s">
        <v>61</v>
      </c>
      <c r="KJW134" t="s">
        <v>61</v>
      </c>
      <c r="KJX134" t="s">
        <v>61</v>
      </c>
      <c r="KJY134" t="s">
        <v>61</v>
      </c>
      <c r="KJZ134" t="s">
        <v>61</v>
      </c>
      <c r="KKA134" t="s">
        <v>61</v>
      </c>
      <c r="KKB134" t="s">
        <v>61</v>
      </c>
      <c r="KKC134" t="s">
        <v>61</v>
      </c>
      <c r="KKD134" t="s">
        <v>61</v>
      </c>
      <c r="KKE134" t="s">
        <v>61</v>
      </c>
      <c r="KKF134" t="s">
        <v>61</v>
      </c>
      <c r="KKG134" t="s">
        <v>61</v>
      </c>
      <c r="KKH134" t="s">
        <v>61</v>
      </c>
      <c r="KKI134" t="s">
        <v>61</v>
      </c>
      <c r="KKJ134" t="s">
        <v>61</v>
      </c>
      <c r="KKK134" t="s">
        <v>61</v>
      </c>
      <c r="KKL134" t="s">
        <v>61</v>
      </c>
      <c r="KKM134" t="s">
        <v>61</v>
      </c>
      <c r="KKN134" t="s">
        <v>61</v>
      </c>
      <c r="KKO134" t="s">
        <v>61</v>
      </c>
      <c r="KKP134" t="s">
        <v>61</v>
      </c>
      <c r="KKQ134" t="s">
        <v>61</v>
      </c>
      <c r="KKR134" t="s">
        <v>61</v>
      </c>
      <c r="KKS134" t="s">
        <v>61</v>
      </c>
      <c r="KKT134" t="s">
        <v>61</v>
      </c>
      <c r="KKU134" t="s">
        <v>61</v>
      </c>
      <c r="KKV134" t="s">
        <v>61</v>
      </c>
      <c r="KKW134" t="s">
        <v>61</v>
      </c>
      <c r="KKX134" t="s">
        <v>61</v>
      </c>
      <c r="KKY134" t="s">
        <v>61</v>
      </c>
      <c r="KKZ134" t="s">
        <v>61</v>
      </c>
      <c r="KLA134" t="s">
        <v>61</v>
      </c>
      <c r="KLB134" t="s">
        <v>61</v>
      </c>
      <c r="KLC134" t="s">
        <v>61</v>
      </c>
      <c r="KLD134" t="s">
        <v>61</v>
      </c>
      <c r="KLE134" t="s">
        <v>61</v>
      </c>
      <c r="KLF134" t="s">
        <v>61</v>
      </c>
      <c r="KLG134" t="s">
        <v>61</v>
      </c>
      <c r="KLH134" t="s">
        <v>61</v>
      </c>
      <c r="KLI134" t="s">
        <v>61</v>
      </c>
      <c r="KLJ134" t="s">
        <v>61</v>
      </c>
      <c r="KLK134" t="s">
        <v>61</v>
      </c>
      <c r="KLL134" t="s">
        <v>61</v>
      </c>
      <c r="KLM134" t="s">
        <v>61</v>
      </c>
      <c r="KLN134" t="s">
        <v>61</v>
      </c>
      <c r="KLO134" t="s">
        <v>61</v>
      </c>
      <c r="KLP134" t="s">
        <v>61</v>
      </c>
      <c r="KLQ134" t="s">
        <v>61</v>
      </c>
      <c r="KLR134" t="s">
        <v>61</v>
      </c>
      <c r="KLS134" t="s">
        <v>61</v>
      </c>
      <c r="KLT134" t="s">
        <v>61</v>
      </c>
      <c r="KLU134" t="s">
        <v>61</v>
      </c>
      <c r="KLV134" t="s">
        <v>61</v>
      </c>
      <c r="KLW134" t="s">
        <v>61</v>
      </c>
      <c r="KLX134" t="s">
        <v>61</v>
      </c>
      <c r="KLY134" t="s">
        <v>61</v>
      </c>
      <c r="KLZ134" t="s">
        <v>61</v>
      </c>
      <c r="KMA134" t="s">
        <v>61</v>
      </c>
      <c r="KMB134" t="s">
        <v>61</v>
      </c>
      <c r="KMC134" t="s">
        <v>61</v>
      </c>
      <c r="KMD134" t="s">
        <v>61</v>
      </c>
      <c r="KME134" t="s">
        <v>61</v>
      </c>
      <c r="KMF134" t="s">
        <v>61</v>
      </c>
      <c r="KMG134" t="s">
        <v>61</v>
      </c>
      <c r="KMH134" t="s">
        <v>61</v>
      </c>
      <c r="KMI134" t="s">
        <v>61</v>
      </c>
      <c r="KMJ134" t="s">
        <v>61</v>
      </c>
      <c r="KMK134" t="s">
        <v>61</v>
      </c>
      <c r="KML134" t="s">
        <v>61</v>
      </c>
      <c r="KMM134" t="s">
        <v>61</v>
      </c>
      <c r="KMN134" t="s">
        <v>61</v>
      </c>
      <c r="KMO134" t="s">
        <v>61</v>
      </c>
      <c r="KMP134" t="s">
        <v>61</v>
      </c>
      <c r="KMQ134" t="s">
        <v>61</v>
      </c>
      <c r="KMR134" t="s">
        <v>61</v>
      </c>
      <c r="KMS134" t="s">
        <v>61</v>
      </c>
      <c r="KMT134" t="s">
        <v>61</v>
      </c>
      <c r="KMU134" t="s">
        <v>61</v>
      </c>
      <c r="KMV134" t="s">
        <v>61</v>
      </c>
      <c r="KMW134" t="s">
        <v>61</v>
      </c>
      <c r="KMX134" t="s">
        <v>61</v>
      </c>
      <c r="KMY134" t="s">
        <v>61</v>
      </c>
      <c r="KMZ134" t="s">
        <v>61</v>
      </c>
      <c r="KNA134" t="s">
        <v>61</v>
      </c>
      <c r="KNB134" t="s">
        <v>61</v>
      </c>
      <c r="KNC134" t="s">
        <v>61</v>
      </c>
      <c r="KND134" t="s">
        <v>61</v>
      </c>
      <c r="KNE134" t="s">
        <v>61</v>
      </c>
      <c r="KNF134" t="s">
        <v>61</v>
      </c>
      <c r="KNG134" t="s">
        <v>61</v>
      </c>
      <c r="KNH134" t="s">
        <v>61</v>
      </c>
      <c r="KNI134" t="s">
        <v>61</v>
      </c>
      <c r="KNJ134" t="s">
        <v>61</v>
      </c>
      <c r="KNK134" t="s">
        <v>61</v>
      </c>
      <c r="KNL134" t="s">
        <v>61</v>
      </c>
      <c r="KNM134" t="s">
        <v>61</v>
      </c>
      <c r="KNN134" t="s">
        <v>61</v>
      </c>
      <c r="KNO134" t="s">
        <v>61</v>
      </c>
      <c r="KNP134" t="s">
        <v>61</v>
      </c>
      <c r="KNQ134" t="s">
        <v>61</v>
      </c>
      <c r="KNR134" t="s">
        <v>61</v>
      </c>
      <c r="KNS134" t="s">
        <v>61</v>
      </c>
      <c r="KNT134" t="s">
        <v>61</v>
      </c>
      <c r="KNU134" t="s">
        <v>61</v>
      </c>
      <c r="KNV134" t="s">
        <v>61</v>
      </c>
      <c r="KNW134" t="s">
        <v>61</v>
      </c>
      <c r="KNX134" t="s">
        <v>61</v>
      </c>
      <c r="KNY134" t="s">
        <v>61</v>
      </c>
      <c r="KNZ134" t="s">
        <v>61</v>
      </c>
      <c r="KOA134" t="s">
        <v>61</v>
      </c>
      <c r="KOB134" t="s">
        <v>61</v>
      </c>
      <c r="KOC134" t="s">
        <v>61</v>
      </c>
      <c r="KOD134" t="s">
        <v>61</v>
      </c>
      <c r="KOE134" t="s">
        <v>61</v>
      </c>
      <c r="KOF134" t="s">
        <v>61</v>
      </c>
      <c r="KOG134" t="s">
        <v>61</v>
      </c>
      <c r="KOH134" t="s">
        <v>61</v>
      </c>
      <c r="KOI134" t="s">
        <v>61</v>
      </c>
      <c r="KOJ134" t="s">
        <v>61</v>
      </c>
      <c r="KOK134" t="s">
        <v>61</v>
      </c>
      <c r="KOL134" t="s">
        <v>61</v>
      </c>
      <c r="KOM134" t="s">
        <v>61</v>
      </c>
      <c r="KON134" t="s">
        <v>61</v>
      </c>
      <c r="KOO134" t="s">
        <v>61</v>
      </c>
      <c r="KOP134" t="s">
        <v>61</v>
      </c>
      <c r="KOQ134" t="s">
        <v>61</v>
      </c>
      <c r="KOR134" t="s">
        <v>61</v>
      </c>
      <c r="KOS134" t="s">
        <v>61</v>
      </c>
      <c r="KOT134" t="s">
        <v>61</v>
      </c>
      <c r="KOU134" t="s">
        <v>61</v>
      </c>
      <c r="KOV134" t="s">
        <v>61</v>
      </c>
      <c r="KOW134" t="s">
        <v>61</v>
      </c>
      <c r="KOX134" t="s">
        <v>61</v>
      </c>
      <c r="KOY134" t="s">
        <v>61</v>
      </c>
      <c r="KOZ134" t="s">
        <v>61</v>
      </c>
      <c r="KPA134" t="s">
        <v>61</v>
      </c>
      <c r="KPB134" t="s">
        <v>61</v>
      </c>
      <c r="KPC134" t="s">
        <v>61</v>
      </c>
      <c r="KPD134" t="s">
        <v>61</v>
      </c>
      <c r="KPE134" t="s">
        <v>61</v>
      </c>
      <c r="KPF134" t="s">
        <v>61</v>
      </c>
      <c r="KPG134" t="s">
        <v>61</v>
      </c>
      <c r="KPH134" t="s">
        <v>61</v>
      </c>
      <c r="KPI134" t="s">
        <v>61</v>
      </c>
      <c r="KPJ134" t="s">
        <v>61</v>
      </c>
      <c r="KPK134" t="s">
        <v>61</v>
      </c>
      <c r="KPL134" t="s">
        <v>61</v>
      </c>
      <c r="KPM134" t="s">
        <v>61</v>
      </c>
      <c r="KPN134" t="s">
        <v>61</v>
      </c>
      <c r="KPO134" t="s">
        <v>61</v>
      </c>
      <c r="KPP134" t="s">
        <v>61</v>
      </c>
      <c r="KPQ134" t="s">
        <v>61</v>
      </c>
      <c r="KPR134" t="s">
        <v>61</v>
      </c>
      <c r="KPS134" t="s">
        <v>61</v>
      </c>
      <c r="KPT134" t="s">
        <v>61</v>
      </c>
      <c r="KPU134" t="s">
        <v>61</v>
      </c>
      <c r="KPV134" t="s">
        <v>61</v>
      </c>
      <c r="KPW134" t="s">
        <v>61</v>
      </c>
      <c r="KPX134" t="s">
        <v>61</v>
      </c>
      <c r="KPY134" t="s">
        <v>61</v>
      </c>
      <c r="KPZ134" t="s">
        <v>61</v>
      </c>
      <c r="KQA134" t="s">
        <v>61</v>
      </c>
      <c r="KQB134" t="s">
        <v>61</v>
      </c>
      <c r="KQC134" t="s">
        <v>61</v>
      </c>
      <c r="KQD134" t="s">
        <v>61</v>
      </c>
      <c r="KQE134" t="s">
        <v>61</v>
      </c>
      <c r="KQF134" t="s">
        <v>61</v>
      </c>
      <c r="KQG134" t="s">
        <v>61</v>
      </c>
      <c r="KQH134" t="s">
        <v>61</v>
      </c>
      <c r="KQI134" t="s">
        <v>61</v>
      </c>
      <c r="KQJ134" t="s">
        <v>61</v>
      </c>
      <c r="KQK134" t="s">
        <v>61</v>
      </c>
      <c r="KQL134" t="s">
        <v>61</v>
      </c>
      <c r="KQM134" t="s">
        <v>61</v>
      </c>
      <c r="KQN134" t="s">
        <v>61</v>
      </c>
      <c r="KQO134" t="s">
        <v>61</v>
      </c>
      <c r="KQP134" t="s">
        <v>61</v>
      </c>
      <c r="KQQ134" t="s">
        <v>61</v>
      </c>
      <c r="KQR134" t="s">
        <v>61</v>
      </c>
      <c r="KQS134" t="s">
        <v>61</v>
      </c>
      <c r="KQT134" t="s">
        <v>61</v>
      </c>
      <c r="KQU134" t="s">
        <v>61</v>
      </c>
      <c r="KQV134" t="s">
        <v>61</v>
      </c>
      <c r="KQW134" t="s">
        <v>61</v>
      </c>
      <c r="KQX134" t="s">
        <v>61</v>
      </c>
      <c r="KQY134" t="s">
        <v>61</v>
      </c>
      <c r="KQZ134" t="s">
        <v>61</v>
      </c>
      <c r="KRA134" t="s">
        <v>61</v>
      </c>
      <c r="KRB134" t="s">
        <v>61</v>
      </c>
      <c r="KRC134" t="s">
        <v>61</v>
      </c>
      <c r="KRD134" t="s">
        <v>61</v>
      </c>
      <c r="KRE134" t="s">
        <v>61</v>
      </c>
      <c r="KRF134" t="s">
        <v>61</v>
      </c>
      <c r="KRG134" t="s">
        <v>61</v>
      </c>
      <c r="KRH134" t="s">
        <v>61</v>
      </c>
      <c r="KRI134" t="s">
        <v>61</v>
      </c>
      <c r="KRJ134" t="s">
        <v>61</v>
      </c>
      <c r="KRK134" t="s">
        <v>61</v>
      </c>
      <c r="KRL134" t="s">
        <v>61</v>
      </c>
      <c r="KRM134" t="s">
        <v>61</v>
      </c>
      <c r="KRN134" t="s">
        <v>61</v>
      </c>
      <c r="KRO134" t="s">
        <v>61</v>
      </c>
      <c r="KRP134" t="s">
        <v>61</v>
      </c>
      <c r="KRQ134" t="s">
        <v>61</v>
      </c>
      <c r="KRR134" t="s">
        <v>61</v>
      </c>
      <c r="KRS134" t="s">
        <v>61</v>
      </c>
      <c r="KRT134" t="s">
        <v>61</v>
      </c>
      <c r="KRU134" t="s">
        <v>61</v>
      </c>
      <c r="KRV134" t="s">
        <v>61</v>
      </c>
      <c r="KRW134" t="s">
        <v>61</v>
      </c>
      <c r="KRX134" t="s">
        <v>61</v>
      </c>
      <c r="KRY134" t="s">
        <v>61</v>
      </c>
      <c r="KRZ134" t="s">
        <v>61</v>
      </c>
      <c r="KSA134" t="s">
        <v>61</v>
      </c>
      <c r="KSB134" t="s">
        <v>61</v>
      </c>
      <c r="KSC134" t="s">
        <v>61</v>
      </c>
      <c r="KSD134" t="s">
        <v>61</v>
      </c>
      <c r="KSE134" t="s">
        <v>61</v>
      </c>
      <c r="KSF134" t="s">
        <v>61</v>
      </c>
      <c r="KSG134" t="s">
        <v>61</v>
      </c>
      <c r="KSH134" t="s">
        <v>61</v>
      </c>
      <c r="KSI134" t="s">
        <v>61</v>
      </c>
      <c r="KSJ134" t="s">
        <v>61</v>
      </c>
      <c r="KSK134" t="s">
        <v>61</v>
      </c>
      <c r="KSL134" t="s">
        <v>61</v>
      </c>
      <c r="KSM134" t="s">
        <v>61</v>
      </c>
      <c r="KSN134" t="s">
        <v>61</v>
      </c>
      <c r="KSO134" t="s">
        <v>61</v>
      </c>
      <c r="KSP134" t="s">
        <v>61</v>
      </c>
      <c r="KSQ134" t="s">
        <v>61</v>
      </c>
      <c r="KSR134" t="s">
        <v>61</v>
      </c>
      <c r="KSS134" t="s">
        <v>61</v>
      </c>
      <c r="KST134" t="s">
        <v>61</v>
      </c>
      <c r="KSU134" t="s">
        <v>61</v>
      </c>
      <c r="KSV134" t="s">
        <v>61</v>
      </c>
      <c r="KSW134" t="s">
        <v>61</v>
      </c>
      <c r="KSX134" t="s">
        <v>61</v>
      </c>
      <c r="KSY134" t="s">
        <v>61</v>
      </c>
      <c r="KSZ134" t="s">
        <v>61</v>
      </c>
      <c r="KTA134" t="s">
        <v>61</v>
      </c>
      <c r="KTB134" t="s">
        <v>61</v>
      </c>
      <c r="KTC134" t="s">
        <v>61</v>
      </c>
      <c r="KTD134" t="s">
        <v>61</v>
      </c>
      <c r="KTE134" t="s">
        <v>61</v>
      </c>
      <c r="KTF134" t="s">
        <v>61</v>
      </c>
      <c r="KTG134" t="s">
        <v>61</v>
      </c>
      <c r="KTH134" t="s">
        <v>61</v>
      </c>
      <c r="KTI134" t="s">
        <v>61</v>
      </c>
      <c r="KTJ134" t="s">
        <v>61</v>
      </c>
      <c r="KTK134" t="s">
        <v>61</v>
      </c>
      <c r="KTL134" t="s">
        <v>61</v>
      </c>
      <c r="KTM134" t="s">
        <v>61</v>
      </c>
      <c r="KTN134" t="s">
        <v>61</v>
      </c>
      <c r="KTO134" t="s">
        <v>61</v>
      </c>
      <c r="KTP134" t="s">
        <v>61</v>
      </c>
      <c r="KTQ134" t="s">
        <v>61</v>
      </c>
      <c r="KTR134" t="s">
        <v>61</v>
      </c>
      <c r="KTS134" t="s">
        <v>61</v>
      </c>
      <c r="KTT134" t="s">
        <v>61</v>
      </c>
      <c r="KTU134" t="s">
        <v>61</v>
      </c>
      <c r="KTV134" t="s">
        <v>61</v>
      </c>
      <c r="KTW134" t="s">
        <v>61</v>
      </c>
      <c r="KTX134" t="s">
        <v>61</v>
      </c>
      <c r="KTY134" t="s">
        <v>61</v>
      </c>
      <c r="KTZ134" t="s">
        <v>61</v>
      </c>
      <c r="KUA134" t="s">
        <v>61</v>
      </c>
      <c r="KUB134" t="s">
        <v>61</v>
      </c>
      <c r="KUC134" t="s">
        <v>61</v>
      </c>
      <c r="KUD134" t="s">
        <v>61</v>
      </c>
      <c r="KUE134" t="s">
        <v>61</v>
      </c>
      <c r="KUF134" t="s">
        <v>61</v>
      </c>
      <c r="KUG134" t="s">
        <v>61</v>
      </c>
      <c r="KUH134" t="s">
        <v>61</v>
      </c>
      <c r="KUI134" t="s">
        <v>61</v>
      </c>
      <c r="KUJ134" t="s">
        <v>61</v>
      </c>
      <c r="KUK134" t="s">
        <v>61</v>
      </c>
      <c r="KUL134" t="s">
        <v>61</v>
      </c>
      <c r="KUM134" t="s">
        <v>61</v>
      </c>
      <c r="KUN134" t="s">
        <v>61</v>
      </c>
      <c r="KUO134" t="s">
        <v>61</v>
      </c>
      <c r="KUP134" t="s">
        <v>61</v>
      </c>
      <c r="KUQ134" t="s">
        <v>61</v>
      </c>
      <c r="KUR134" t="s">
        <v>61</v>
      </c>
      <c r="KUS134" t="s">
        <v>61</v>
      </c>
      <c r="KUT134" t="s">
        <v>61</v>
      </c>
      <c r="KUU134" t="s">
        <v>61</v>
      </c>
      <c r="KUV134" t="s">
        <v>61</v>
      </c>
      <c r="KUW134" t="s">
        <v>61</v>
      </c>
      <c r="KUX134" t="s">
        <v>61</v>
      </c>
      <c r="KUY134" t="s">
        <v>61</v>
      </c>
      <c r="KUZ134" t="s">
        <v>61</v>
      </c>
      <c r="KVA134" t="s">
        <v>61</v>
      </c>
      <c r="KVB134" t="s">
        <v>61</v>
      </c>
      <c r="KVC134" t="s">
        <v>61</v>
      </c>
      <c r="KVD134" t="s">
        <v>61</v>
      </c>
      <c r="KVE134" t="s">
        <v>61</v>
      </c>
      <c r="KVF134" t="s">
        <v>61</v>
      </c>
      <c r="KVG134" t="s">
        <v>61</v>
      </c>
      <c r="KVH134" t="s">
        <v>61</v>
      </c>
      <c r="KVI134" t="s">
        <v>61</v>
      </c>
      <c r="KVJ134" t="s">
        <v>61</v>
      </c>
      <c r="KVK134" t="s">
        <v>61</v>
      </c>
      <c r="KVL134" t="s">
        <v>61</v>
      </c>
      <c r="KVM134" t="s">
        <v>61</v>
      </c>
      <c r="KVN134" t="s">
        <v>61</v>
      </c>
      <c r="KVO134" t="s">
        <v>61</v>
      </c>
      <c r="KVP134" t="s">
        <v>61</v>
      </c>
      <c r="KVQ134" t="s">
        <v>61</v>
      </c>
      <c r="KVR134" t="s">
        <v>61</v>
      </c>
      <c r="KVS134" t="s">
        <v>61</v>
      </c>
      <c r="KVT134" t="s">
        <v>61</v>
      </c>
      <c r="KVU134" t="s">
        <v>61</v>
      </c>
      <c r="KVV134" t="s">
        <v>61</v>
      </c>
      <c r="KVW134" t="s">
        <v>61</v>
      </c>
      <c r="KVX134" t="s">
        <v>61</v>
      </c>
      <c r="KVY134" t="s">
        <v>61</v>
      </c>
      <c r="KVZ134" t="s">
        <v>61</v>
      </c>
      <c r="KWA134" t="s">
        <v>61</v>
      </c>
      <c r="KWB134" t="s">
        <v>61</v>
      </c>
      <c r="KWC134" t="s">
        <v>61</v>
      </c>
      <c r="KWD134" t="s">
        <v>61</v>
      </c>
      <c r="KWE134" t="s">
        <v>61</v>
      </c>
      <c r="KWF134" t="s">
        <v>61</v>
      </c>
      <c r="KWG134" t="s">
        <v>61</v>
      </c>
      <c r="KWH134" t="s">
        <v>61</v>
      </c>
      <c r="KWI134" t="s">
        <v>61</v>
      </c>
      <c r="KWJ134" t="s">
        <v>61</v>
      </c>
      <c r="KWK134" t="s">
        <v>61</v>
      </c>
      <c r="KWL134" t="s">
        <v>61</v>
      </c>
      <c r="KWM134" t="s">
        <v>61</v>
      </c>
      <c r="KWN134" t="s">
        <v>61</v>
      </c>
      <c r="KWO134" t="s">
        <v>61</v>
      </c>
      <c r="KWP134" t="s">
        <v>61</v>
      </c>
      <c r="KWQ134" t="s">
        <v>61</v>
      </c>
      <c r="KWR134" t="s">
        <v>61</v>
      </c>
      <c r="KWS134" t="s">
        <v>61</v>
      </c>
      <c r="KWT134" t="s">
        <v>61</v>
      </c>
      <c r="KWU134" t="s">
        <v>61</v>
      </c>
      <c r="KWV134" t="s">
        <v>61</v>
      </c>
      <c r="KWW134" t="s">
        <v>61</v>
      </c>
      <c r="KWX134" t="s">
        <v>61</v>
      </c>
      <c r="KWY134" t="s">
        <v>61</v>
      </c>
      <c r="KWZ134" t="s">
        <v>61</v>
      </c>
      <c r="KXA134" t="s">
        <v>61</v>
      </c>
      <c r="KXB134" t="s">
        <v>61</v>
      </c>
      <c r="KXC134" t="s">
        <v>61</v>
      </c>
      <c r="KXD134" t="s">
        <v>61</v>
      </c>
      <c r="KXE134" t="s">
        <v>61</v>
      </c>
      <c r="KXF134" t="s">
        <v>61</v>
      </c>
      <c r="KXG134" t="s">
        <v>61</v>
      </c>
      <c r="KXH134" t="s">
        <v>61</v>
      </c>
      <c r="KXI134" t="s">
        <v>61</v>
      </c>
      <c r="KXJ134" t="s">
        <v>61</v>
      </c>
      <c r="KXK134" t="s">
        <v>61</v>
      </c>
      <c r="KXL134" t="s">
        <v>61</v>
      </c>
      <c r="KXM134" t="s">
        <v>61</v>
      </c>
      <c r="KXN134" t="s">
        <v>61</v>
      </c>
      <c r="KXO134" t="s">
        <v>61</v>
      </c>
      <c r="KXP134" t="s">
        <v>61</v>
      </c>
      <c r="KXQ134" t="s">
        <v>61</v>
      </c>
      <c r="KXR134" t="s">
        <v>61</v>
      </c>
      <c r="KXS134" t="s">
        <v>61</v>
      </c>
      <c r="KXT134" t="s">
        <v>61</v>
      </c>
      <c r="KXU134" t="s">
        <v>61</v>
      </c>
      <c r="KXV134" t="s">
        <v>61</v>
      </c>
      <c r="KXW134" t="s">
        <v>61</v>
      </c>
      <c r="KXX134" t="s">
        <v>61</v>
      </c>
      <c r="KXY134" t="s">
        <v>61</v>
      </c>
      <c r="KXZ134" t="s">
        <v>61</v>
      </c>
      <c r="KYA134" t="s">
        <v>61</v>
      </c>
      <c r="KYB134" t="s">
        <v>61</v>
      </c>
      <c r="KYC134" t="s">
        <v>61</v>
      </c>
      <c r="KYD134" t="s">
        <v>61</v>
      </c>
      <c r="KYE134" t="s">
        <v>61</v>
      </c>
      <c r="KYF134" t="s">
        <v>61</v>
      </c>
      <c r="KYG134" t="s">
        <v>61</v>
      </c>
      <c r="KYH134" t="s">
        <v>61</v>
      </c>
      <c r="KYI134" t="s">
        <v>61</v>
      </c>
      <c r="KYJ134" t="s">
        <v>61</v>
      </c>
      <c r="KYK134" t="s">
        <v>61</v>
      </c>
      <c r="KYL134" t="s">
        <v>61</v>
      </c>
      <c r="KYM134" t="s">
        <v>61</v>
      </c>
      <c r="KYN134" t="s">
        <v>61</v>
      </c>
      <c r="KYO134" t="s">
        <v>61</v>
      </c>
      <c r="KYP134" t="s">
        <v>61</v>
      </c>
      <c r="KYQ134" t="s">
        <v>61</v>
      </c>
      <c r="KYR134" t="s">
        <v>61</v>
      </c>
      <c r="KYS134" t="s">
        <v>61</v>
      </c>
      <c r="KYT134" t="s">
        <v>61</v>
      </c>
      <c r="KYU134" t="s">
        <v>61</v>
      </c>
      <c r="KYV134" t="s">
        <v>61</v>
      </c>
      <c r="KYW134" t="s">
        <v>61</v>
      </c>
      <c r="KYX134" t="s">
        <v>61</v>
      </c>
      <c r="KYY134" t="s">
        <v>61</v>
      </c>
      <c r="KYZ134" t="s">
        <v>61</v>
      </c>
      <c r="KZA134" t="s">
        <v>61</v>
      </c>
      <c r="KZB134" t="s">
        <v>61</v>
      </c>
      <c r="KZC134" t="s">
        <v>61</v>
      </c>
      <c r="KZD134" t="s">
        <v>61</v>
      </c>
      <c r="KZE134" t="s">
        <v>61</v>
      </c>
      <c r="KZF134" t="s">
        <v>61</v>
      </c>
      <c r="KZG134" t="s">
        <v>61</v>
      </c>
      <c r="KZH134" t="s">
        <v>61</v>
      </c>
      <c r="KZI134" t="s">
        <v>61</v>
      </c>
      <c r="KZJ134" t="s">
        <v>61</v>
      </c>
      <c r="KZK134" t="s">
        <v>61</v>
      </c>
      <c r="KZL134" t="s">
        <v>61</v>
      </c>
      <c r="KZM134" t="s">
        <v>61</v>
      </c>
      <c r="KZN134" t="s">
        <v>61</v>
      </c>
      <c r="KZO134" t="s">
        <v>61</v>
      </c>
      <c r="KZP134" t="s">
        <v>61</v>
      </c>
      <c r="KZQ134" t="s">
        <v>61</v>
      </c>
      <c r="KZR134" t="s">
        <v>61</v>
      </c>
      <c r="KZS134" t="s">
        <v>61</v>
      </c>
      <c r="KZT134" t="s">
        <v>61</v>
      </c>
      <c r="KZU134" t="s">
        <v>61</v>
      </c>
      <c r="KZV134" t="s">
        <v>61</v>
      </c>
      <c r="KZW134" t="s">
        <v>61</v>
      </c>
      <c r="KZX134" t="s">
        <v>61</v>
      </c>
      <c r="KZY134" t="s">
        <v>61</v>
      </c>
      <c r="KZZ134" t="s">
        <v>61</v>
      </c>
      <c r="LAA134" t="s">
        <v>61</v>
      </c>
      <c r="LAB134" t="s">
        <v>61</v>
      </c>
      <c r="LAC134" t="s">
        <v>61</v>
      </c>
      <c r="LAD134" t="s">
        <v>61</v>
      </c>
      <c r="LAE134" t="s">
        <v>61</v>
      </c>
      <c r="LAF134" t="s">
        <v>61</v>
      </c>
      <c r="LAG134" t="s">
        <v>61</v>
      </c>
      <c r="LAH134" t="s">
        <v>61</v>
      </c>
      <c r="LAI134" t="s">
        <v>61</v>
      </c>
      <c r="LAJ134" t="s">
        <v>61</v>
      </c>
      <c r="LAK134" t="s">
        <v>61</v>
      </c>
      <c r="LAL134" t="s">
        <v>61</v>
      </c>
      <c r="LAM134" t="s">
        <v>61</v>
      </c>
      <c r="LAN134" t="s">
        <v>61</v>
      </c>
      <c r="LAO134" t="s">
        <v>61</v>
      </c>
      <c r="LAP134" t="s">
        <v>61</v>
      </c>
      <c r="LAQ134" t="s">
        <v>61</v>
      </c>
      <c r="LAR134" t="s">
        <v>61</v>
      </c>
      <c r="LAS134" t="s">
        <v>61</v>
      </c>
      <c r="LAT134" t="s">
        <v>61</v>
      </c>
      <c r="LAU134" t="s">
        <v>61</v>
      </c>
      <c r="LAV134" t="s">
        <v>61</v>
      </c>
      <c r="LAW134" t="s">
        <v>61</v>
      </c>
      <c r="LAX134" t="s">
        <v>61</v>
      </c>
      <c r="LAY134" t="s">
        <v>61</v>
      </c>
      <c r="LAZ134" t="s">
        <v>61</v>
      </c>
      <c r="LBA134" t="s">
        <v>61</v>
      </c>
      <c r="LBB134" t="s">
        <v>61</v>
      </c>
      <c r="LBC134" t="s">
        <v>61</v>
      </c>
      <c r="LBD134" t="s">
        <v>61</v>
      </c>
      <c r="LBE134" t="s">
        <v>61</v>
      </c>
      <c r="LBF134" t="s">
        <v>61</v>
      </c>
      <c r="LBG134" t="s">
        <v>61</v>
      </c>
      <c r="LBH134" t="s">
        <v>61</v>
      </c>
      <c r="LBI134" t="s">
        <v>61</v>
      </c>
      <c r="LBJ134" t="s">
        <v>61</v>
      </c>
      <c r="LBK134" t="s">
        <v>61</v>
      </c>
      <c r="LBL134" t="s">
        <v>61</v>
      </c>
      <c r="LBM134" t="s">
        <v>61</v>
      </c>
      <c r="LBN134" t="s">
        <v>61</v>
      </c>
      <c r="LBO134" t="s">
        <v>61</v>
      </c>
      <c r="LBP134" t="s">
        <v>61</v>
      </c>
      <c r="LBQ134" t="s">
        <v>61</v>
      </c>
      <c r="LBR134" t="s">
        <v>61</v>
      </c>
      <c r="LBS134" t="s">
        <v>61</v>
      </c>
      <c r="LBT134" t="s">
        <v>61</v>
      </c>
      <c r="LBU134" t="s">
        <v>61</v>
      </c>
      <c r="LBV134" t="s">
        <v>61</v>
      </c>
      <c r="LBW134" t="s">
        <v>61</v>
      </c>
      <c r="LBX134" t="s">
        <v>61</v>
      </c>
      <c r="LBY134" t="s">
        <v>61</v>
      </c>
      <c r="LBZ134" t="s">
        <v>61</v>
      </c>
      <c r="LCA134" t="s">
        <v>61</v>
      </c>
      <c r="LCB134" t="s">
        <v>61</v>
      </c>
      <c r="LCC134" t="s">
        <v>61</v>
      </c>
      <c r="LCD134" t="s">
        <v>61</v>
      </c>
      <c r="LCE134" t="s">
        <v>61</v>
      </c>
      <c r="LCF134" t="s">
        <v>61</v>
      </c>
      <c r="LCG134" t="s">
        <v>61</v>
      </c>
      <c r="LCH134" t="s">
        <v>61</v>
      </c>
      <c r="LCI134" t="s">
        <v>61</v>
      </c>
      <c r="LCJ134" t="s">
        <v>61</v>
      </c>
      <c r="LCK134" t="s">
        <v>61</v>
      </c>
      <c r="LCL134" t="s">
        <v>61</v>
      </c>
      <c r="LCM134" t="s">
        <v>61</v>
      </c>
      <c r="LCN134" t="s">
        <v>61</v>
      </c>
      <c r="LCO134" t="s">
        <v>61</v>
      </c>
      <c r="LCP134" t="s">
        <v>61</v>
      </c>
      <c r="LCQ134" t="s">
        <v>61</v>
      </c>
      <c r="LCR134" t="s">
        <v>61</v>
      </c>
      <c r="LCS134" t="s">
        <v>61</v>
      </c>
      <c r="LCT134" t="s">
        <v>61</v>
      </c>
      <c r="LCU134" t="s">
        <v>61</v>
      </c>
      <c r="LCV134" t="s">
        <v>61</v>
      </c>
      <c r="LCW134" t="s">
        <v>61</v>
      </c>
      <c r="LCX134" t="s">
        <v>61</v>
      </c>
      <c r="LCY134" t="s">
        <v>61</v>
      </c>
      <c r="LCZ134" t="s">
        <v>61</v>
      </c>
      <c r="LDA134" t="s">
        <v>61</v>
      </c>
      <c r="LDB134" t="s">
        <v>61</v>
      </c>
      <c r="LDC134" t="s">
        <v>61</v>
      </c>
      <c r="LDD134" t="s">
        <v>61</v>
      </c>
      <c r="LDE134" t="s">
        <v>61</v>
      </c>
      <c r="LDF134" t="s">
        <v>61</v>
      </c>
      <c r="LDG134" t="s">
        <v>61</v>
      </c>
      <c r="LDH134" t="s">
        <v>61</v>
      </c>
      <c r="LDI134" t="s">
        <v>61</v>
      </c>
      <c r="LDJ134" t="s">
        <v>61</v>
      </c>
      <c r="LDK134" t="s">
        <v>61</v>
      </c>
      <c r="LDL134" t="s">
        <v>61</v>
      </c>
      <c r="LDM134" t="s">
        <v>61</v>
      </c>
      <c r="LDN134" t="s">
        <v>61</v>
      </c>
      <c r="LDO134" t="s">
        <v>61</v>
      </c>
      <c r="LDP134" t="s">
        <v>61</v>
      </c>
      <c r="LDQ134" t="s">
        <v>61</v>
      </c>
      <c r="LDR134" t="s">
        <v>61</v>
      </c>
      <c r="LDS134" t="s">
        <v>61</v>
      </c>
      <c r="LDT134" t="s">
        <v>61</v>
      </c>
      <c r="LDU134" t="s">
        <v>61</v>
      </c>
      <c r="LDV134" t="s">
        <v>61</v>
      </c>
      <c r="LDW134" t="s">
        <v>61</v>
      </c>
      <c r="LDX134" t="s">
        <v>61</v>
      </c>
      <c r="LDY134" t="s">
        <v>61</v>
      </c>
      <c r="LDZ134" t="s">
        <v>61</v>
      </c>
      <c r="LEA134" t="s">
        <v>61</v>
      </c>
      <c r="LEB134" t="s">
        <v>61</v>
      </c>
      <c r="LEC134" t="s">
        <v>61</v>
      </c>
      <c r="LED134" t="s">
        <v>61</v>
      </c>
      <c r="LEE134" t="s">
        <v>61</v>
      </c>
      <c r="LEF134" t="s">
        <v>61</v>
      </c>
      <c r="LEG134" t="s">
        <v>61</v>
      </c>
      <c r="LEH134" t="s">
        <v>61</v>
      </c>
      <c r="LEI134" t="s">
        <v>61</v>
      </c>
      <c r="LEJ134" t="s">
        <v>61</v>
      </c>
      <c r="LEK134" t="s">
        <v>61</v>
      </c>
      <c r="LEL134" t="s">
        <v>61</v>
      </c>
      <c r="LEM134" t="s">
        <v>61</v>
      </c>
      <c r="LEN134" t="s">
        <v>61</v>
      </c>
      <c r="LEO134" t="s">
        <v>61</v>
      </c>
      <c r="LEP134" t="s">
        <v>61</v>
      </c>
      <c r="LEQ134" t="s">
        <v>61</v>
      </c>
      <c r="LER134" t="s">
        <v>61</v>
      </c>
      <c r="LES134" t="s">
        <v>61</v>
      </c>
      <c r="LET134" t="s">
        <v>61</v>
      </c>
      <c r="LEU134" t="s">
        <v>61</v>
      </c>
      <c r="LEV134" t="s">
        <v>61</v>
      </c>
      <c r="LEW134" t="s">
        <v>61</v>
      </c>
      <c r="LEX134" t="s">
        <v>61</v>
      </c>
      <c r="LEY134" t="s">
        <v>61</v>
      </c>
      <c r="LEZ134" t="s">
        <v>61</v>
      </c>
      <c r="LFA134" t="s">
        <v>61</v>
      </c>
      <c r="LFB134" t="s">
        <v>61</v>
      </c>
      <c r="LFC134" t="s">
        <v>61</v>
      </c>
      <c r="LFD134" t="s">
        <v>61</v>
      </c>
      <c r="LFE134" t="s">
        <v>61</v>
      </c>
      <c r="LFF134" t="s">
        <v>61</v>
      </c>
      <c r="LFG134" t="s">
        <v>61</v>
      </c>
      <c r="LFH134" t="s">
        <v>61</v>
      </c>
      <c r="LFI134" t="s">
        <v>61</v>
      </c>
      <c r="LFJ134" t="s">
        <v>61</v>
      </c>
      <c r="LFK134" t="s">
        <v>61</v>
      </c>
      <c r="LFL134" t="s">
        <v>61</v>
      </c>
      <c r="LFM134" t="s">
        <v>61</v>
      </c>
      <c r="LFN134" t="s">
        <v>61</v>
      </c>
      <c r="LFO134" t="s">
        <v>61</v>
      </c>
      <c r="LFP134" t="s">
        <v>61</v>
      </c>
      <c r="LFQ134" t="s">
        <v>61</v>
      </c>
      <c r="LFR134" t="s">
        <v>61</v>
      </c>
      <c r="LFS134" t="s">
        <v>61</v>
      </c>
      <c r="LFT134" t="s">
        <v>61</v>
      </c>
      <c r="LFU134" t="s">
        <v>61</v>
      </c>
      <c r="LFV134" t="s">
        <v>61</v>
      </c>
      <c r="LFW134" t="s">
        <v>61</v>
      </c>
      <c r="LFX134" t="s">
        <v>61</v>
      </c>
      <c r="LFY134" t="s">
        <v>61</v>
      </c>
      <c r="LFZ134" t="s">
        <v>61</v>
      </c>
      <c r="LGA134" t="s">
        <v>61</v>
      </c>
      <c r="LGB134" t="s">
        <v>61</v>
      </c>
      <c r="LGC134" t="s">
        <v>61</v>
      </c>
      <c r="LGD134" t="s">
        <v>61</v>
      </c>
      <c r="LGE134" t="s">
        <v>61</v>
      </c>
      <c r="LGF134" t="s">
        <v>61</v>
      </c>
      <c r="LGG134" t="s">
        <v>61</v>
      </c>
      <c r="LGH134" t="s">
        <v>61</v>
      </c>
      <c r="LGI134" t="s">
        <v>61</v>
      </c>
      <c r="LGJ134" t="s">
        <v>61</v>
      </c>
      <c r="LGK134" t="s">
        <v>61</v>
      </c>
      <c r="LGL134" t="s">
        <v>61</v>
      </c>
      <c r="LGM134" t="s">
        <v>61</v>
      </c>
      <c r="LGN134" t="s">
        <v>61</v>
      </c>
      <c r="LGO134" t="s">
        <v>61</v>
      </c>
      <c r="LGP134" t="s">
        <v>61</v>
      </c>
      <c r="LGQ134" t="s">
        <v>61</v>
      </c>
      <c r="LGR134" t="s">
        <v>61</v>
      </c>
      <c r="LGS134" t="s">
        <v>61</v>
      </c>
      <c r="LGT134" t="s">
        <v>61</v>
      </c>
      <c r="LGU134" t="s">
        <v>61</v>
      </c>
      <c r="LGV134" t="s">
        <v>61</v>
      </c>
      <c r="LGW134" t="s">
        <v>61</v>
      </c>
      <c r="LGX134" t="s">
        <v>61</v>
      </c>
      <c r="LGY134" t="s">
        <v>61</v>
      </c>
      <c r="LGZ134" t="s">
        <v>61</v>
      </c>
      <c r="LHA134" t="s">
        <v>61</v>
      </c>
      <c r="LHB134" t="s">
        <v>61</v>
      </c>
      <c r="LHC134" t="s">
        <v>61</v>
      </c>
      <c r="LHD134" t="s">
        <v>61</v>
      </c>
      <c r="LHE134" t="s">
        <v>61</v>
      </c>
      <c r="LHF134" t="s">
        <v>61</v>
      </c>
      <c r="LHG134" t="s">
        <v>61</v>
      </c>
      <c r="LHH134" t="s">
        <v>61</v>
      </c>
      <c r="LHI134" t="s">
        <v>61</v>
      </c>
      <c r="LHJ134" t="s">
        <v>61</v>
      </c>
      <c r="LHK134" t="s">
        <v>61</v>
      </c>
      <c r="LHL134" t="s">
        <v>61</v>
      </c>
      <c r="LHM134" t="s">
        <v>61</v>
      </c>
      <c r="LHN134" t="s">
        <v>61</v>
      </c>
      <c r="LHO134" t="s">
        <v>61</v>
      </c>
      <c r="LHP134" t="s">
        <v>61</v>
      </c>
      <c r="LHQ134" t="s">
        <v>61</v>
      </c>
      <c r="LHR134" t="s">
        <v>61</v>
      </c>
      <c r="LHS134" t="s">
        <v>61</v>
      </c>
      <c r="LHT134" t="s">
        <v>61</v>
      </c>
      <c r="LHU134" t="s">
        <v>61</v>
      </c>
      <c r="LHV134" t="s">
        <v>61</v>
      </c>
      <c r="LHW134" t="s">
        <v>61</v>
      </c>
      <c r="LHX134" t="s">
        <v>61</v>
      </c>
      <c r="LHY134" t="s">
        <v>61</v>
      </c>
      <c r="LHZ134" t="s">
        <v>61</v>
      </c>
      <c r="LIA134" t="s">
        <v>61</v>
      </c>
      <c r="LIB134" t="s">
        <v>61</v>
      </c>
      <c r="LIC134" t="s">
        <v>61</v>
      </c>
      <c r="LID134" t="s">
        <v>61</v>
      </c>
      <c r="LIE134" t="s">
        <v>61</v>
      </c>
      <c r="LIF134" t="s">
        <v>61</v>
      </c>
      <c r="LIG134" t="s">
        <v>61</v>
      </c>
      <c r="LIH134" t="s">
        <v>61</v>
      </c>
      <c r="LII134" t="s">
        <v>61</v>
      </c>
      <c r="LIJ134" t="s">
        <v>61</v>
      </c>
      <c r="LIK134" t="s">
        <v>61</v>
      </c>
      <c r="LIL134" t="s">
        <v>61</v>
      </c>
      <c r="LIM134" t="s">
        <v>61</v>
      </c>
      <c r="LIN134" t="s">
        <v>61</v>
      </c>
      <c r="LIO134" t="s">
        <v>61</v>
      </c>
      <c r="LIP134" t="s">
        <v>61</v>
      </c>
      <c r="LIQ134" t="s">
        <v>61</v>
      </c>
      <c r="LIR134" t="s">
        <v>61</v>
      </c>
      <c r="LIS134" t="s">
        <v>61</v>
      </c>
      <c r="LIT134" t="s">
        <v>61</v>
      </c>
      <c r="LIU134" t="s">
        <v>61</v>
      </c>
      <c r="LIV134" t="s">
        <v>61</v>
      </c>
      <c r="LIW134" t="s">
        <v>61</v>
      </c>
      <c r="LIX134" t="s">
        <v>61</v>
      </c>
      <c r="LIY134" t="s">
        <v>61</v>
      </c>
      <c r="LIZ134" t="s">
        <v>61</v>
      </c>
      <c r="LJA134" t="s">
        <v>61</v>
      </c>
      <c r="LJB134" t="s">
        <v>61</v>
      </c>
      <c r="LJC134" t="s">
        <v>61</v>
      </c>
      <c r="LJD134" t="s">
        <v>61</v>
      </c>
      <c r="LJE134" t="s">
        <v>61</v>
      </c>
      <c r="LJF134" t="s">
        <v>61</v>
      </c>
      <c r="LJG134" t="s">
        <v>61</v>
      </c>
      <c r="LJH134" t="s">
        <v>61</v>
      </c>
      <c r="LJI134" t="s">
        <v>61</v>
      </c>
      <c r="LJJ134" t="s">
        <v>61</v>
      </c>
      <c r="LJK134" t="s">
        <v>61</v>
      </c>
      <c r="LJL134" t="s">
        <v>61</v>
      </c>
      <c r="LJM134" t="s">
        <v>61</v>
      </c>
      <c r="LJN134" t="s">
        <v>61</v>
      </c>
      <c r="LJO134" t="s">
        <v>61</v>
      </c>
      <c r="LJP134" t="s">
        <v>61</v>
      </c>
      <c r="LJQ134" t="s">
        <v>61</v>
      </c>
      <c r="LJR134" t="s">
        <v>61</v>
      </c>
      <c r="LJS134" t="s">
        <v>61</v>
      </c>
      <c r="LJT134" t="s">
        <v>61</v>
      </c>
      <c r="LJU134" t="s">
        <v>61</v>
      </c>
      <c r="LJV134" t="s">
        <v>61</v>
      </c>
      <c r="LJW134" t="s">
        <v>61</v>
      </c>
      <c r="LJX134" t="s">
        <v>61</v>
      </c>
      <c r="LJY134" t="s">
        <v>61</v>
      </c>
      <c r="LJZ134" t="s">
        <v>61</v>
      </c>
      <c r="LKA134" t="s">
        <v>61</v>
      </c>
      <c r="LKB134" t="s">
        <v>61</v>
      </c>
      <c r="LKC134" t="s">
        <v>61</v>
      </c>
      <c r="LKD134" t="s">
        <v>61</v>
      </c>
      <c r="LKE134" t="s">
        <v>61</v>
      </c>
      <c r="LKF134" t="s">
        <v>61</v>
      </c>
      <c r="LKG134" t="s">
        <v>61</v>
      </c>
      <c r="LKH134" t="s">
        <v>61</v>
      </c>
      <c r="LKI134" t="s">
        <v>61</v>
      </c>
      <c r="LKJ134" t="s">
        <v>61</v>
      </c>
      <c r="LKK134" t="s">
        <v>61</v>
      </c>
      <c r="LKL134" t="s">
        <v>61</v>
      </c>
      <c r="LKM134" t="s">
        <v>61</v>
      </c>
      <c r="LKN134" t="s">
        <v>61</v>
      </c>
      <c r="LKO134" t="s">
        <v>61</v>
      </c>
      <c r="LKP134" t="s">
        <v>61</v>
      </c>
      <c r="LKQ134" t="s">
        <v>61</v>
      </c>
      <c r="LKR134" t="s">
        <v>61</v>
      </c>
      <c r="LKS134" t="s">
        <v>61</v>
      </c>
      <c r="LKT134" t="s">
        <v>61</v>
      </c>
      <c r="LKU134" t="s">
        <v>61</v>
      </c>
      <c r="LKV134" t="s">
        <v>61</v>
      </c>
      <c r="LKW134" t="s">
        <v>61</v>
      </c>
      <c r="LKX134" t="s">
        <v>61</v>
      </c>
      <c r="LKY134" t="s">
        <v>61</v>
      </c>
      <c r="LKZ134" t="s">
        <v>61</v>
      </c>
      <c r="LLA134" t="s">
        <v>61</v>
      </c>
      <c r="LLB134" t="s">
        <v>61</v>
      </c>
      <c r="LLC134" t="s">
        <v>61</v>
      </c>
      <c r="LLD134" t="s">
        <v>61</v>
      </c>
      <c r="LLE134" t="s">
        <v>61</v>
      </c>
      <c r="LLF134" t="s">
        <v>61</v>
      </c>
      <c r="LLG134" t="s">
        <v>61</v>
      </c>
      <c r="LLH134" t="s">
        <v>61</v>
      </c>
      <c r="LLI134" t="s">
        <v>61</v>
      </c>
      <c r="LLJ134" t="s">
        <v>61</v>
      </c>
      <c r="LLK134" t="s">
        <v>61</v>
      </c>
      <c r="LLL134" t="s">
        <v>61</v>
      </c>
      <c r="LLM134" t="s">
        <v>61</v>
      </c>
      <c r="LLN134" t="s">
        <v>61</v>
      </c>
      <c r="LLO134" t="s">
        <v>61</v>
      </c>
      <c r="LLP134" t="s">
        <v>61</v>
      </c>
      <c r="LLQ134" t="s">
        <v>61</v>
      </c>
      <c r="LLR134" t="s">
        <v>61</v>
      </c>
      <c r="LLS134" t="s">
        <v>61</v>
      </c>
      <c r="LLT134" t="s">
        <v>61</v>
      </c>
      <c r="LLU134" t="s">
        <v>61</v>
      </c>
      <c r="LLV134" t="s">
        <v>61</v>
      </c>
      <c r="LLW134" t="s">
        <v>61</v>
      </c>
      <c r="LLX134" t="s">
        <v>61</v>
      </c>
      <c r="LLY134" t="s">
        <v>61</v>
      </c>
      <c r="LLZ134" t="s">
        <v>61</v>
      </c>
      <c r="LMA134" t="s">
        <v>61</v>
      </c>
      <c r="LMB134" t="s">
        <v>61</v>
      </c>
      <c r="LMC134" t="s">
        <v>61</v>
      </c>
      <c r="LMD134" t="s">
        <v>61</v>
      </c>
      <c r="LME134" t="s">
        <v>61</v>
      </c>
      <c r="LMF134" t="s">
        <v>61</v>
      </c>
      <c r="LMG134" t="s">
        <v>61</v>
      </c>
      <c r="LMH134" t="s">
        <v>61</v>
      </c>
      <c r="LMI134" t="s">
        <v>61</v>
      </c>
      <c r="LMJ134" t="s">
        <v>61</v>
      </c>
      <c r="LMK134" t="s">
        <v>61</v>
      </c>
      <c r="LML134" t="s">
        <v>61</v>
      </c>
      <c r="LMM134" t="s">
        <v>61</v>
      </c>
      <c r="LMN134" t="s">
        <v>61</v>
      </c>
      <c r="LMO134" t="s">
        <v>61</v>
      </c>
      <c r="LMP134" t="s">
        <v>61</v>
      </c>
      <c r="LMQ134" t="s">
        <v>61</v>
      </c>
      <c r="LMR134" t="s">
        <v>61</v>
      </c>
      <c r="LMS134" t="s">
        <v>61</v>
      </c>
      <c r="LMT134" t="s">
        <v>61</v>
      </c>
      <c r="LMU134" t="s">
        <v>61</v>
      </c>
      <c r="LMV134" t="s">
        <v>61</v>
      </c>
      <c r="LMW134" t="s">
        <v>61</v>
      </c>
      <c r="LMX134" t="s">
        <v>61</v>
      </c>
      <c r="LMY134" t="s">
        <v>61</v>
      </c>
      <c r="LMZ134" t="s">
        <v>61</v>
      </c>
      <c r="LNA134" t="s">
        <v>61</v>
      </c>
      <c r="LNB134" t="s">
        <v>61</v>
      </c>
      <c r="LNC134" t="s">
        <v>61</v>
      </c>
      <c r="LND134" t="s">
        <v>61</v>
      </c>
      <c r="LNE134" t="s">
        <v>61</v>
      </c>
      <c r="LNF134" t="s">
        <v>61</v>
      </c>
      <c r="LNG134" t="s">
        <v>61</v>
      </c>
      <c r="LNH134" t="s">
        <v>61</v>
      </c>
      <c r="LNI134" t="s">
        <v>61</v>
      </c>
      <c r="LNJ134" t="s">
        <v>61</v>
      </c>
      <c r="LNK134" t="s">
        <v>61</v>
      </c>
      <c r="LNL134" t="s">
        <v>61</v>
      </c>
      <c r="LNM134" t="s">
        <v>61</v>
      </c>
      <c r="LNN134" t="s">
        <v>61</v>
      </c>
      <c r="LNO134" t="s">
        <v>61</v>
      </c>
      <c r="LNP134" t="s">
        <v>61</v>
      </c>
      <c r="LNQ134" t="s">
        <v>61</v>
      </c>
      <c r="LNR134" t="s">
        <v>61</v>
      </c>
      <c r="LNS134" t="s">
        <v>61</v>
      </c>
      <c r="LNT134" t="s">
        <v>61</v>
      </c>
      <c r="LNU134" t="s">
        <v>61</v>
      </c>
      <c r="LNV134" t="s">
        <v>61</v>
      </c>
      <c r="LNW134" t="s">
        <v>61</v>
      </c>
      <c r="LNX134" t="s">
        <v>61</v>
      </c>
      <c r="LNY134" t="s">
        <v>61</v>
      </c>
      <c r="LNZ134" t="s">
        <v>61</v>
      </c>
      <c r="LOA134" t="s">
        <v>61</v>
      </c>
      <c r="LOB134" t="s">
        <v>61</v>
      </c>
      <c r="LOC134" t="s">
        <v>61</v>
      </c>
      <c r="LOD134" t="s">
        <v>61</v>
      </c>
      <c r="LOE134" t="s">
        <v>61</v>
      </c>
      <c r="LOF134" t="s">
        <v>61</v>
      </c>
      <c r="LOG134" t="s">
        <v>61</v>
      </c>
      <c r="LOH134" t="s">
        <v>61</v>
      </c>
      <c r="LOI134" t="s">
        <v>61</v>
      </c>
      <c r="LOJ134" t="s">
        <v>61</v>
      </c>
      <c r="LOK134" t="s">
        <v>61</v>
      </c>
      <c r="LOL134" t="s">
        <v>61</v>
      </c>
      <c r="LOM134" t="s">
        <v>61</v>
      </c>
      <c r="LON134" t="s">
        <v>61</v>
      </c>
      <c r="LOO134" t="s">
        <v>61</v>
      </c>
      <c r="LOP134" t="s">
        <v>61</v>
      </c>
      <c r="LOQ134" t="s">
        <v>61</v>
      </c>
      <c r="LOR134" t="s">
        <v>61</v>
      </c>
      <c r="LOS134" t="s">
        <v>61</v>
      </c>
      <c r="LOT134" t="s">
        <v>61</v>
      </c>
      <c r="LOU134" t="s">
        <v>61</v>
      </c>
      <c r="LOV134" t="s">
        <v>61</v>
      </c>
      <c r="LOW134" t="s">
        <v>61</v>
      </c>
      <c r="LOX134" t="s">
        <v>61</v>
      </c>
      <c r="LOY134" t="s">
        <v>61</v>
      </c>
      <c r="LOZ134" t="s">
        <v>61</v>
      </c>
      <c r="LPA134" t="s">
        <v>61</v>
      </c>
      <c r="LPB134" t="s">
        <v>61</v>
      </c>
      <c r="LPC134" t="s">
        <v>61</v>
      </c>
      <c r="LPD134" t="s">
        <v>61</v>
      </c>
      <c r="LPE134" t="s">
        <v>61</v>
      </c>
      <c r="LPF134" t="s">
        <v>61</v>
      </c>
      <c r="LPG134" t="s">
        <v>61</v>
      </c>
      <c r="LPH134" t="s">
        <v>61</v>
      </c>
      <c r="LPI134" t="s">
        <v>61</v>
      </c>
      <c r="LPJ134" t="s">
        <v>61</v>
      </c>
      <c r="LPK134" t="s">
        <v>61</v>
      </c>
      <c r="LPL134" t="s">
        <v>61</v>
      </c>
      <c r="LPM134" t="s">
        <v>61</v>
      </c>
      <c r="LPN134" t="s">
        <v>61</v>
      </c>
      <c r="LPO134" t="s">
        <v>61</v>
      </c>
      <c r="LPP134" t="s">
        <v>61</v>
      </c>
      <c r="LPQ134" t="s">
        <v>61</v>
      </c>
      <c r="LPR134" t="s">
        <v>61</v>
      </c>
      <c r="LPS134" t="s">
        <v>61</v>
      </c>
      <c r="LPT134" t="s">
        <v>61</v>
      </c>
      <c r="LPU134" t="s">
        <v>61</v>
      </c>
      <c r="LPV134" t="s">
        <v>61</v>
      </c>
      <c r="LPW134" t="s">
        <v>61</v>
      </c>
      <c r="LPX134" t="s">
        <v>61</v>
      </c>
      <c r="LPY134" t="s">
        <v>61</v>
      </c>
      <c r="LPZ134" t="s">
        <v>61</v>
      </c>
      <c r="LQA134" t="s">
        <v>61</v>
      </c>
      <c r="LQB134" t="s">
        <v>61</v>
      </c>
      <c r="LQC134" t="s">
        <v>61</v>
      </c>
      <c r="LQD134" t="s">
        <v>61</v>
      </c>
      <c r="LQE134" t="s">
        <v>61</v>
      </c>
      <c r="LQF134" t="s">
        <v>61</v>
      </c>
      <c r="LQG134" t="s">
        <v>61</v>
      </c>
      <c r="LQH134" t="s">
        <v>61</v>
      </c>
      <c r="LQI134" t="s">
        <v>61</v>
      </c>
      <c r="LQJ134" t="s">
        <v>61</v>
      </c>
      <c r="LQK134" t="s">
        <v>61</v>
      </c>
      <c r="LQL134" t="s">
        <v>61</v>
      </c>
      <c r="LQM134" t="s">
        <v>61</v>
      </c>
      <c r="LQN134" t="s">
        <v>61</v>
      </c>
      <c r="LQO134" t="s">
        <v>61</v>
      </c>
      <c r="LQP134" t="s">
        <v>61</v>
      </c>
      <c r="LQQ134" t="s">
        <v>61</v>
      </c>
      <c r="LQR134" t="s">
        <v>61</v>
      </c>
      <c r="LQS134" t="s">
        <v>61</v>
      </c>
      <c r="LQT134" t="s">
        <v>61</v>
      </c>
      <c r="LQU134" t="s">
        <v>61</v>
      </c>
      <c r="LQV134" t="s">
        <v>61</v>
      </c>
      <c r="LQW134" t="s">
        <v>61</v>
      </c>
      <c r="LQX134" t="s">
        <v>61</v>
      </c>
      <c r="LQY134" t="s">
        <v>61</v>
      </c>
      <c r="LQZ134" t="s">
        <v>61</v>
      </c>
      <c r="LRA134" t="s">
        <v>61</v>
      </c>
      <c r="LRB134" t="s">
        <v>61</v>
      </c>
      <c r="LRC134" t="s">
        <v>61</v>
      </c>
      <c r="LRD134" t="s">
        <v>61</v>
      </c>
      <c r="LRE134" t="s">
        <v>61</v>
      </c>
      <c r="LRF134" t="s">
        <v>61</v>
      </c>
      <c r="LRG134" t="s">
        <v>61</v>
      </c>
      <c r="LRH134" t="s">
        <v>61</v>
      </c>
      <c r="LRI134" t="s">
        <v>61</v>
      </c>
      <c r="LRJ134" t="s">
        <v>61</v>
      </c>
      <c r="LRK134" t="s">
        <v>61</v>
      </c>
      <c r="LRL134" t="s">
        <v>61</v>
      </c>
      <c r="LRM134" t="s">
        <v>61</v>
      </c>
      <c r="LRN134" t="s">
        <v>61</v>
      </c>
      <c r="LRO134" t="s">
        <v>61</v>
      </c>
      <c r="LRP134" t="s">
        <v>61</v>
      </c>
      <c r="LRQ134" t="s">
        <v>61</v>
      </c>
      <c r="LRR134" t="s">
        <v>61</v>
      </c>
      <c r="LRS134" t="s">
        <v>61</v>
      </c>
      <c r="LRT134" t="s">
        <v>61</v>
      </c>
      <c r="LRU134" t="s">
        <v>61</v>
      </c>
      <c r="LRV134" t="s">
        <v>61</v>
      </c>
      <c r="LRW134" t="s">
        <v>61</v>
      </c>
      <c r="LRX134" t="s">
        <v>61</v>
      </c>
      <c r="LRY134" t="s">
        <v>61</v>
      </c>
      <c r="LRZ134" t="s">
        <v>61</v>
      </c>
      <c r="LSA134" t="s">
        <v>61</v>
      </c>
      <c r="LSB134" t="s">
        <v>61</v>
      </c>
      <c r="LSC134" t="s">
        <v>61</v>
      </c>
      <c r="LSD134" t="s">
        <v>61</v>
      </c>
      <c r="LSE134" t="s">
        <v>61</v>
      </c>
      <c r="LSF134" t="s">
        <v>61</v>
      </c>
      <c r="LSG134" t="s">
        <v>61</v>
      </c>
      <c r="LSH134" t="s">
        <v>61</v>
      </c>
      <c r="LSI134" t="s">
        <v>61</v>
      </c>
      <c r="LSJ134" t="s">
        <v>61</v>
      </c>
      <c r="LSK134" t="s">
        <v>61</v>
      </c>
      <c r="LSL134" t="s">
        <v>61</v>
      </c>
      <c r="LSM134" t="s">
        <v>61</v>
      </c>
      <c r="LSN134" t="s">
        <v>61</v>
      </c>
      <c r="LSO134" t="s">
        <v>61</v>
      </c>
      <c r="LSP134" t="s">
        <v>61</v>
      </c>
      <c r="LSQ134" t="s">
        <v>61</v>
      </c>
      <c r="LSR134" t="s">
        <v>61</v>
      </c>
      <c r="LSS134" t="s">
        <v>61</v>
      </c>
      <c r="LST134" t="s">
        <v>61</v>
      </c>
      <c r="LSU134" t="s">
        <v>61</v>
      </c>
      <c r="LSV134" t="s">
        <v>61</v>
      </c>
      <c r="LSW134" t="s">
        <v>61</v>
      </c>
      <c r="LSX134" t="s">
        <v>61</v>
      </c>
      <c r="LSY134" t="s">
        <v>61</v>
      </c>
      <c r="LSZ134" t="s">
        <v>61</v>
      </c>
      <c r="LTA134" t="s">
        <v>61</v>
      </c>
      <c r="LTB134" t="s">
        <v>61</v>
      </c>
      <c r="LTC134" t="s">
        <v>61</v>
      </c>
      <c r="LTD134" t="s">
        <v>61</v>
      </c>
      <c r="LTE134" t="s">
        <v>61</v>
      </c>
      <c r="LTF134" t="s">
        <v>61</v>
      </c>
      <c r="LTG134" t="s">
        <v>61</v>
      </c>
      <c r="LTH134" t="s">
        <v>61</v>
      </c>
      <c r="LTI134" t="s">
        <v>61</v>
      </c>
      <c r="LTJ134" t="s">
        <v>61</v>
      </c>
      <c r="LTK134" t="s">
        <v>61</v>
      </c>
      <c r="LTL134" t="s">
        <v>61</v>
      </c>
      <c r="LTM134" t="s">
        <v>61</v>
      </c>
      <c r="LTN134" t="s">
        <v>61</v>
      </c>
      <c r="LTO134" t="s">
        <v>61</v>
      </c>
      <c r="LTP134" t="s">
        <v>61</v>
      </c>
      <c r="LTQ134" t="s">
        <v>61</v>
      </c>
      <c r="LTR134" t="s">
        <v>61</v>
      </c>
      <c r="LTS134" t="s">
        <v>61</v>
      </c>
      <c r="LTT134" t="s">
        <v>61</v>
      </c>
      <c r="LTU134" t="s">
        <v>61</v>
      </c>
      <c r="LTV134" t="s">
        <v>61</v>
      </c>
      <c r="LTW134" t="s">
        <v>61</v>
      </c>
      <c r="LTX134" t="s">
        <v>61</v>
      </c>
      <c r="LTY134" t="s">
        <v>61</v>
      </c>
      <c r="LTZ134" t="s">
        <v>61</v>
      </c>
      <c r="LUA134" t="s">
        <v>61</v>
      </c>
      <c r="LUB134" t="s">
        <v>61</v>
      </c>
      <c r="LUC134" t="s">
        <v>61</v>
      </c>
      <c r="LUD134" t="s">
        <v>61</v>
      </c>
      <c r="LUE134" t="s">
        <v>61</v>
      </c>
      <c r="LUF134" t="s">
        <v>61</v>
      </c>
      <c r="LUG134" t="s">
        <v>61</v>
      </c>
      <c r="LUH134" t="s">
        <v>61</v>
      </c>
      <c r="LUI134" t="s">
        <v>61</v>
      </c>
      <c r="LUJ134" t="s">
        <v>61</v>
      </c>
      <c r="LUK134" t="s">
        <v>61</v>
      </c>
      <c r="LUL134" t="s">
        <v>61</v>
      </c>
      <c r="LUM134" t="s">
        <v>61</v>
      </c>
      <c r="LUN134" t="s">
        <v>61</v>
      </c>
      <c r="LUO134" t="s">
        <v>61</v>
      </c>
      <c r="LUP134" t="s">
        <v>61</v>
      </c>
      <c r="LUQ134" t="s">
        <v>61</v>
      </c>
      <c r="LUR134" t="s">
        <v>61</v>
      </c>
      <c r="LUS134" t="s">
        <v>61</v>
      </c>
      <c r="LUT134" t="s">
        <v>61</v>
      </c>
      <c r="LUU134" t="s">
        <v>61</v>
      </c>
      <c r="LUV134" t="s">
        <v>61</v>
      </c>
      <c r="LUW134" t="s">
        <v>61</v>
      </c>
      <c r="LUX134" t="s">
        <v>61</v>
      </c>
      <c r="LUY134" t="s">
        <v>61</v>
      </c>
      <c r="LUZ134" t="s">
        <v>61</v>
      </c>
      <c r="LVA134" t="s">
        <v>61</v>
      </c>
      <c r="LVB134" t="s">
        <v>61</v>
      </c>
      <c r="LVC134" t="s">
        <v>61</v>
      </c>
      <c r="LVD134" t="s">
        <v>61</v>
      </c>
      <c r="LVE134" t="s">
        <v>61</v>
      </c>
      <c r="LVF134" t="s">
        <v>61</v>
      </c>
      <c r="LVG134" t="s">
        <v>61</v>
      </c>
      <c r="LVH134" t="s">
        <v>61</v>
      </c>
      <c r="LVI134" t="s">
        <v>61</v>
      </c>
      <c r="LVJ134" t="s">
        <v>61</v>
      </c>
      <c r="LVK134" t="s">
        <v>61</v>
      </c>
      <c r="LVL134" t="s">
        <v>61</v>
      </c>
      <c r="LVM134" t="s">
        <v>61</v>
      </c>
      <c r="LVN134" t="s">
        <v>61</v>
      </c>
      <c r="LVO134" t="s">
        <v>61</v>
      </c>
      <c r="LVP134" t="s">
        <v>61</v>
      </c>
      <c r="LVQ134" t="s">
        <v>61</v>
      </c>
      <c r="LVR134" t="s">
        <v>61</v>
      </c>
      <c r="LVS134" t="s">
        <v>61</v>
      </c>
      <c r="LVT134" t="s">
        <v>61</v>
      </c>
      <c r="LVU134" t="s">
        <v>61</v>
      </c>
      <c r="LVV134" t="s">
        <v>61</v>
      </c>
      <c r="LVW134" t="s">
        <v>61</v>
      </c>
      <c r="LVX134" t="s">
        <v>61</v>
      </c>
      <c r="LVY134" t="s">
        <v>61</v>
      </c>
      <c r="LVZ134" t="s">
        <v>61</v>
      </c>
      <c r="LWA134" t="s">
        <v>61</v>
      </c>
      <c r="LWB134" t="s">
        <v>61</v>
      </c>
      <c r="LWC134" t="s">
        <v>61</v>
      </c>
      <c r="LWD134" t="s">
        <v>61</v>
      </c>
      <c r="LWE134" t="s">
        <v>61</v>
      </c>
      <c r="LWF134" t="s">
        <v>61</v>
      </c>
      <c r="LWG134" t="s">
        <v>61</v>
      </c>
      <c r="LWH134" t="s">
        <v>61</v>
      </c>
      <c r="LWI134" t="s">
        <v>61</v>
      </c>
      <c r="LWJ134" t="s">
        <v>61</v>
      </c>
      <c r="LWK134" t="s">
        <v>61</v>
      </c>
      <c r="LWL134" t="s">
        <v>61</v>
      </c>
      <c r="LWM134" t="s">
        <v>61</v>
      </c>
      <c r="LWN134" t="s">
        <v>61</v>
      </c>
      <c r="LWO134" t="s">
        <v>61</v>
      </c>
      <c r="LWP134" t="s">
        <v>61</v>
      </c>
      <c r="LWQ134" t="s">
        <v>61</v>
      </c>
      <c r="LWR134" t="s">
        <v>61</v>
      </c>
      <c r="LWS134" t="s">
        <v>61</v>
      </c>
      <c r="LWT134" t="s">
        <v>61</v>
      </c>
      <c r="LWU134" t="s">
        <v>61</v>
      </c>
      <c r="LWV134" t="s">
        <v>61</v>
      </c>
      <c r="LWW134" t="s">
        <v>61</v>
      </c>
      <c r="LWX134" t="s">
        <v>61</v>
      </c>
      <c r="LWY134" t="s">
        <v>61</v>
      </c>
      <c r="LWZ134" t="s">
        <v>61</v>
      </c>
      <c r="LXA134" t="s">
        <v>61</v>
      </c>
      <c r="LXB134" t="s">
        <v>61</v>
      </c>
      <c r="LXC134" t="s">
        <v>61</v>
      </c>
      <c r="LXD134" t="s">
        <v>61</v>
      </c>
      <c r="LXE134" t="s">
        <v>61</v>
      </c>
      <c r="LXF134" t="s">
        <v>61</v>
      </c>
      <c r="LXG134" t="s">
        <v>61</v>
      </c>
      <c r="LXH134" t="s">
        <v>61</v>
      </c>
      <c r="LXI134" t="s">
        <v>61</v>
      </c>
      <c r="LXJ134" t="s">
        <v>61</v>
      </c>
      <c r="LXK134" t="s">
        <v>61</v>
      </c>
      <c r="LXL134" t="s">
        <v>61</v>
      </c>
      <c r="LXM134" t="s">
        <v>61</v>
      </c>
      <c r="LXN134" t="s">
        <v>61</v>
      </c>
      <c r="LXO134" t="s">
        <v>61</v>
      </c>
      <c r="LXP134" t="s">
        <v>61</v>
      </c>
      <c r="LXQ134" t="s">
        <v>61</v>
      </c>
      <c r="LXR134" t="s">
        <v>61</v>
      </c>
      <c r="LXS134" t="s">
        <v>61</v>
      </c>
      <c r="LXT134" t="s">
        <v>61</v>
      </c>
      <c r="LXU134" t="s">
        <v>61</v>
      </c>
      <c r="LXV134" t="s">
        <v>61</v>
      </c>
      <c r="LXW134" t="s">
        <v>61</v>
      </c>
      <c r="LXX134" t="s">
        <v>61</v>
      </c>
      <c r="LXY134" t="s">
        <v>61</v>
      </c>
      <c r="LXZ134" t="s">
        <v>61</v>
      </c>
      <c r="LYA134" t="s">
        <v>61</v>
      </c>
      <c r="LYB134" t="s">
        <v>61</v>
      </c>
      <c r="LYC134" t="s">
        <v>61</v>
      </c>
      <c r="LYD134" t="s">
        <v>61</v>
      </c>
      <c r="LYE134" t="s">
        <v>61</v>
      </c>
      <c r="LYF134" t="s">
        <v>61</v>
      </c>
      <c r="LYG134" t="s">
        <v>61</v>
      </c>
      <c r="LYH134" t="s">
        <v>61</v>
      </c>
      <c r="LYI134" t="s">
        <v>61</v>
      </c>
      <c r="LYJ134" t="s">
        <v>61</v>
      </c>
      <c r="LYK134" t="s">
        <v>61</v>
      </c>
      <c r="LYL134" t="s">
        <v>61</v>
      </c>
      <c r="LYM134" t="s">
        <v>61</v>
      </c>
      <c r="LYN134" t="s">
        <v>61</v>
      </c>
      <c r="LYO134" t="s">
        <v>61</v>
      </c>
      <c r="LYP134" t="s">
        <v>61</v>
      </c>
      <c r="LYQ134" t="s">
        <v>61</v>
      </c>
      <c r="LYR134" t="s">
        <v>61</v>
      </c>
      <c r="LYS134" t="s">
        <v>61</v>
      </c>
      <c r="LYT134" t="s">
        <v>61</v>
      </c>
      <c r="LYU134" t="s">
        <v>61</v>
      </c>
      <c r="LYV134" t="s">
        <v>61</v>
      </c>
      <c r="LYW134" t="s">
        <v>61</v>
      </c>
      <c r="LYX134" t="s">
        <v>61</v>
      </c>
      <c r="LYY134" t="s">
        <v>61</v>
      </c>
      <c r="LYZ134" t="s">
        <v>61</v>
      </c>
      <c r="LZA134" t="s">
        <v>61</v>
      </c>
      <c r="LZB134" t="s">
        <v>61</v>
      </c>
      <c r="LZC134" t="s">
        <v>61</v>
      </c>
      <c r="LZD134" t="s">
        <v>61</v>
      </c>
      <c r="LZE134" t="s">
        <v>61</v>
      </c>
      <c r="LZF134" t="s">
        <v>61</v>
      </c>
      <c r="LZG134" t="s">
        <v>61</v>
      </c>
      <c r="LZH134" t="s">
        <v>61</v>
      </c>
      <c r="LZI134" t="s">
        <v>61</v>
      </c>
      <c r="LZJ134" t="s">
        <v>61</v>
      </c>
      <c r="LZK134" t="s">
        <v>61</v>
      </c>
      <c r="LZL134" t="s">
        <v>61</v>
      </c>
      <c r="LZM134" t="s">
        <v>61</v>
      </c>
      <c r="LZN134" t="s">
        <v>61</v>
      </c>
      <c r="LZO134" t="s">
        <v>61</v>
      </c>
      <c r="LZP134" t="s">
        <v>61</v>
      </c>
      <c r="LZQ134" t="s">
        <v>61</v>
      </c>
      <c r="LZR134" t="s">
        <v>61</v>
      </c>
      <c r="LZS134" t="s">
        <v>61</v>
      </c>
      <c r="LZT134" t="s">
        <v>61</v>
      </c>
      <c r="LZU134" t="s">
        <v>61</v>
      </c>
      <c r="LZV134" t="s">
        <v>61</v>
      </c>
      <c r="LZW134" t="s">
        <v>61</v>
      </c>
      <c r="LZX134" t="s">
        <v>61</v>
      </c>
      <c r="LZY134" t="s">
        <v>61</v>
      </c>
      <c r="LZZ134" t="s">
        <v>61</v>
      </c>
      <c r="MAA134" t="s">
        <v>61</v>
      </c>
      <c r="MAB134" t="s">
        <v>61</v>
      </c>
      <c r="MAC134" t="s">
        <v>61</v>
      </c>
      <c r="MAD134" t="s">
        <v>61</v>
      </c>
      <c r="MAE134" t="s">
        <v>61</v>
      </c>
      <c r="MAF134" t="s">
        <v>61</v>
      </c>
      <c r="MAG134" t="s">
        <v>61</v>
      </c>
      <c r="MAH134" t="s">
        <v>61</v>
      </c>
      <c r="MAI134" t="s">
        <v>61</v>
      </c>
      <c r="MAJ134" t="s">
        <v>61</v>
      </c>
      <c r="MAK134" t="s">
        <v>61</v>
      </c>
      <c r="MAL134" t="s">
        <v>61</v>
      </c>
      <c r="MAM134" t="s">
        <v>61</v>
      </c>
      <c r="MAN134" t="s">
        <v>61</v>
      </c>
      <c r="MAO134" t="s">
        <v>61</v>
      </c>
      <c r="MAP134" t="s">
        <v>61</v>
      </c>
      <c r="MAQ134" t="s">
        <v>61</v>
      </c>
      <c r="MAR134" t="s">
        <v>61</v>
      </c>
      <c r="MAS134" t="s">
        <v>61</v>
      </c>
      <c r="MAT134" t="s">
        <v>61</v>
      </c>
      <c r="MAU134" t="s">
        <v>61</v>
      </c>
      <c r="MAV134" t="s">
        <v>61</v>
      </c>
      <c r="MAW134" t="s">
        <v>61</v>
      </c>
      <c r="MAX134" t="s">
        <v>61</v>
      </c>
      <c r="MAY134" t="s">
        <v>61</v>
      </c>
      <c r="MAZ134" t="s">
        <v>61</v>
      </c>
      <c r="MBA134" t="s">
        <v>61</v>
      </c>
      <c r="MBB134" t="s">
        <v>61</v>
      </c>
      <c r="MBC134" t="s">
        <v>61</v>
      </c>
      <c r="MBD134" t="s">
        <v>61</v>
      </c>
      <c r="MBE134" t="s">
        <v>61</v>
      </c>
      <c r="MBF134" t="s">
        <v>61</v>
      </c>
      <c r="MBG134" t="s">
        <v>61</v>
      </c>
      <c r="MBH134" t="s">
        <v>61</v>
      </c>
      <c r="MBI134" t="s">
        <v>61</v>
      </c>
      <c r="MBJ134" t="s">
        <v>61</v>
      </c>
      <c r="MBK134" t="s">
        <v>61</v>
      </c>
      <c r="MBL134" t="s">
        <v>61</v>
      </c>
      <c r="MBM134" t="s">
        <v>61</v>
      </c>
      <c r="MBN134" t="s">
        <v>61</v>
      </c>
      <c r="MBO134" t="s">
        <v>61</v>
      </c>
      <c r="MBP134" t="s">
        <v>61</v>
      </c>
      <c r="MBQ134" t="s">
        <v>61</v>
      </c>
      <c r="MBR134" t="s">
        <v>61</v>
      </c>
      <c r="MBS134" t="s">
        <v>61</v>
      </c>
      <c r="MBT134" t="s">
        <v>61</v>
      </c>
      <c r="MBU134" t="s">
        <v>61</v>
      </c>
      <c r="MBV134" t="s">
        <v>61</v>
      </c>
      <c r="MBW134" t="s">
        <v>61</v>
      </c>
      <c r="MBX134" t="s">
        <v>61</v>
      </c>
      <c r="MBY134" t="s">
        <v>61</v>
      </c>
      <c r="MBZ134" t="s">
        <v>61</v>
      </c>
      <c r="MCA134" t="s">
        <v>61</v>
      </c>
      <c r="MCB134" t="s">
        <v>61</v>
      </c>
      <c r="MCC134" t="s">
        <v>61</v>
      </c>
      <c r="MCD134" t="s">
        <v>61</v>
      </c>
      <c r="MCE134" t="s">
        <v>61</v>
      </c>
      <c r="MCF134" t="s">
        <v>61</v>
      </c>
      <c r="MCG134" t="s">
        <v>61</v>
      </c>
      <c r="MCH134" t="s">
        <v>61</v>
      </c>
      <c r="MCI134" t="s">
        <v>61</v>
      </c>
      <c r="MCJ134" t="s">
        <v>61</v>
      </c>
      <c r="MCK134" t="s">
        <v>61</v>
      </c>
      <c r="MCL134" t="s">
        <v>61</v>
      </c>
      <c r="MCM134" t="s">
        <v>61</v>
      </c>
      <c r="MCN134" t="s">
        <v>61</v>
      </c>
      <c r="MCO134" t="s">
        <v>61</v>
      </c>
      <c r="MCP134" t="s">
        <v>61</v>
      </c>
      <c r="MCQ134" t="s">
        <v>61</v>
      </c>
      <c r="MCR134" t="s">
        <v>61</v>
      </c>
      <c r="MCS134" t="s">
        <v>61</v>
      </c>
      <c r="MCT134" t="s">
        <v>61</v>
      </c>
      <c r="MCU134" t="s">
        <v>61</v>
      </c>
      <c r="MCV134" t="s">
        <v>61</v>
      </c>
      <c r="MCW134" t="s">
        <v>61</v>
      </c>
      <c r="MCX134" t="s">
        <v>61</v>
      </c>
      <c r="MCY134" t="s">
        <v>61</v>
      </c>
      <c r="MCZ134" t="s">
        <v>61</v>
      </c>
      <c r="MDA134" t="s">
        <v>61</v>
      </c>
      <c r="MDB134" t="s">
        <v>61</v>
      </c>
      <c r="MDC134" t="s">
        <v>61</v>
      </c>
      <c r="MDD134" t="s">
        <v>61</v>
      </c>
      <c r="MDE134" t="s">
        <v>61</v>
      </c>
      <c r="MDF134" t="s">
        <v>61</v>
      </c>
      <c r="MDG134" t="s">
        <v>61</v>
      </c>
      <c r="MDH134" t="s">
        <v>61</v>
      </c>
      <c r="MDI134" t="s">
        <v>61</v>
      </c>
      <c r="MDJ134" t="s">
        <v>61</v>
      </c>
      <c r="MDK134" t="s">
        <v>61</v>
      </c>
      <c r="MDL134" t="s">
        <v>61</v>
      </c>
      <c r="MDM134" t="s">
        <v>61</v>
      </c>
      <c r="MDN134" t="s">
        <v>61</v>
      </c>
      <c r="MDO134" t="s">
        <v>61</v>
      </c>
      <c r="MDP134" t="s">
        <v>61</v>
      </c>
      <c r="MDQ134" t="s">
        <v>61</v>
      </c>
      <c r="MDR134" t="s">
        <v>61</v>
      </c>
      <c r="MDS134" t="s">
        <v>61</v>
      </c>
      <c r="MDT134" t="s">
        <v>61</v>
      </c>
      <c r="MDU134" t="s">
        <v>61</v>
      </c>
      <c r="MDV134" t="s">
        <v>61</v>
      </c>
      <c r="MDW134" t="s">
        <v>61</v>
      </c>
      <c r="MDX134" t="s">
        <v>61</v>
      </c>
      <c r="MDY134" t="s">
        <v>61</v>
      </c>
      <c r="MDZ134" t="s">
        <v>61</v>
      </c>
      <c r="MEA134" t="s">
        <v>61</v>
      </c>
      <c r="MEB134" t="s">
        <v>61</v>
      </c>
      <c r="MEC134" t="s">
        <v>61</v>
      </c>
      <c r="MED134" t="s">
        <v>61</v>
      </c>
      <c r="MEE134" t="s">
        <v>61</v>
      </c>
      <c r="MEF134" t="s">
        <v>61</v>
      </c>
      <c r="MEG134" t="s">
        <v>61</v>
      </c>
      <c r="MEH134" t="s">
        <v>61</v>
      </c>
      <c r="MEI134" t="s">
        <v>61</v>
      </c>
      <c r="MEJ134" t="s">
        <v>61</v>
      </c>
      <c r="MEK134" t="s">
        <v>61</v>
      </c>
      <c r="MEL134" t="s">
        <v>61</v>
      </c>
      <c r="MEM134" t="s">
        <v>61</v>
      </c>
      <c r="MEN134" t="s">
        <v>61</v>
      </c>
      <c r="MEO134" t="s">
        <v>61</v>
      </c>
      <c r="MEP134" t="s">
        <v>61</v>
      </c>
      <c r="MEQ134" t="s">
        <v>61</v>
      </c>
      <c r="MER134" t="s">
        <v>61</v>
      </c>
      <c r="MES134" t="s">
        <v>61</v>
      </c>
      <c r="MET134" t="s">
        <v>61</v>
      </c>
      <c r="MEU134" t="s">
        <v>61</v>
      </c>
      <c r="MEV134" t="s">
        <v>61</v>
      </c>
      <c r="MEW134" t="s">
        <v>61</v>
      </c>
      <c r="MEX134" t="s">
        <v>61</v>
      </c>
      <c r="MEY134" t="s">
        <v>61</v>
      </c>
      <c r="MEZ134" t="s">
        <v>61</v>
      </c>
      <c r="MFA134" t="s">
        <v>61</v>
      </c>
      <c r="MFB134" t="s">
        <v>61</v>
      </c>
      <c r="MFC134" t="s">
        <v>61</v>
      </c>
      <c r="MFD134" t="s">
        <v>61</v>
      </c>
      <c r="MFE134" t="s">
        <v>61</v>
      </c>
      <c r="MFF134" t="s">
        <v>61</v>
      </c>
      <c r="MFG134" t="s">
        <v>61</v>
      </c>
      <c r="MFH134" t="s">
        <v>61</v>
      </c>
      <c r="MFI134" t="s">
        <v>61</v>
      </c>
      <c r="MFJ134" t="s">
        <v>61</v>
      </c>
      <c r="MFK134" t="s">
        <v>61</v>
      </c>
      <c r="MFL134" t="s">
        <v>61</v>
      </c>
      <c r="MFM134" t="s">
        <v>61</v>
      </c>
      <c r="MFN134" t="s">
        <v>61</v>
      </c>
      <c r="MFO134" t="s">
        <v>61</v>
      </c>
      <c r="MFP134" t="s">
        <v>61</v>
      </c>
      <c r="MFQ134" t="s">
        <v>61</v>
      </c>
      <c r="MFR134" t="s">
        <v>61</v>
      </c>
      <c r="MFS134" t="s">
        <v>61</v>
      </c>
      <c r="MFT134" t="s">
        <v>61</v>
      </c>
      <c r="MFU134" t="s">
        <v>61</v>
      </c>
      <c r="MFV134" t="s">
        <v>61</v>
      </c>
      <c r="MFW134" t="s">
        <v>61</v>
      </c>
      <c r="MFX134" t="s">
        <v>61</v>
      </c>
      <c r="MFY134" t="s">
        <v>61</v>
      </c>
      <c r="MFZ134" t="s">
        <v>61</v>
      </c>
      <c r="MGA134" t="s">
        <v>61</v>
      </c>
      <c r="MGB134" t="s">
        <v>61</v>
      </c>
      <c r="MGC134" t="s">
        <v>61</v>
      </c>
      <c r="MGD134" t="s">
        <v>61</v>
      </c>
      <c r="MGE134" t="s">
        <v>61</v>
      </c>
      <c r="MGF134" t="s">
        <v>61</v>
      </c>
      <c r="MGG134" t="s">
        <v>61</v>
      </c>
      <c r="MGH134" t="s">
        <v>61</v>
      </c>
      <c r="MGI134" t="s">
        <v>61</v>
      </c>
      <c r="MGJ134" t="s">
        <v>61</v>
      </c>
      <c r="MGK134" t="s">
        <v>61</v>
      </c>
      <c r="MGL134" t="s">
        <v>61</v>
      </c>
      <c r="MGM134" t="s">
        <v>61</v>
      </c>
      <c r="MGN134" t="s">
        <v>61</v>
      </c>
      <c r="MGO134" t="s">
        <v>61</v>
      </c>
      <c r="MGP134" t="s">
        <v>61</v>
      </c>
      <c r="MGQ134" t="s">
        <v>61</v>
      </c>
      <c r="MGR134" t="s">
        <v>61</v>
      </c>
      <c r="MGS134" t="s">
        <v>61</v>
      </c>
      <c r="MGT134" t="s">
        <v>61</v>
      </c>
      <c r="MGU134" t="s">
        <v>61</v>
      </c>
      <c r="MGV134" t="s">
        <v>61</v>
      </c>
      <c r="MGW134" t="s">
        <v>61</v>
      </c>
      <c r="MGX134" t="s">
        <v>61</v>
      </c>
      <c r="MGY134" t="s">
        <v>61</v>
      </c>
      <c r="MGZ134" t="s">
        <v>61</v>
      </c>
      <c r="MHA134" t="s">
        <v>61</v>
      </c>
      <c r="MHB134" t="s">
        <v>61</v>
      </c>
      <c r="MHC134" t="s">
        <v>61</v>
      </c>
      <c r="MHD134" t="s">
        <v>61</v>
      </c>
      <c r="MHE134" t="s">
        <v>61</v>
      </c>
      <c r="MHF134" t="s">
        <v>61</v>
      </c>
      <c r="MHG134" t="s">
        <v>61</v>
      </c>
      <c r="MHH134" t="s">
        <v>61</v>
      </c>
      <c r="MHI134" t="s">
        <v>61</v>
      </c>
      <c r="MHJ134" t="s">
        <v>61</v>
      </c>
      <c r="MHK134" t="s">
        <v>61</v>
      </c>
      <c r="MHL134" t="s">
        <v>61</v>
      </c>
      <c r="MHM134" t="s">
        <v>61</v>
      </c>
      <c r="MHN134" t="s">
        <v>61</v>
      </c>
      <c r="MHO134" t="s">
        <v>61</v>
      </c>
      <c r="MHP134" t="s">
        <v>61</v>
      </c>
      <c r="MHQ134" t="s">
        <v>61</v>
      </c>
      <c r="MHR134" t="s">
        <v>61</v>
      </c>
      <c r="MHS134" t="s">
        <v>61</v>
      </c>
      <c r="MHT134" t="s">
        <v>61</v>
      </c>
      <c r="MHU134" t="s">
        <v>61</v>
      </c>
      <c r="MHV134" t="s">
        <v>61</v>
      </c>
      <c r="MHW134" t="s">
        <v>61</v>
      </c>
      <c r="MHX134" t="s">
        <v>61</v>
      </c>
      <c r="MHY134" t="s">
        <v>61</v>
      </c>
      <c r="MHZ134" t="s">
        <v>61</v>
      </c>
      <c r="MIA134" t="s">
        <v>61</v>
      </c>
      <c r="MIB134" t="s">
        <v>61</v>
      </c>
      <c r="MIC134" t="s">
        <v>61</v>
      </c>
      <c r="MID134" t="s">
        <v>61</v>
      </c>
      <c r="MIE134" t="s">
        <v>61</v>
      </c>
      <c r="MIF134" t="s">
        <v>61</v>
      </c>
      <c r="MIG134" t="s">
        <v>61</v>
      </c>
      <c r="MIH134" t="s">
        <v>61</v>
      </c>
      <c r="MII134" t="s">
        <v>61</v>
      </c>
      <c r="MIJ134" t="s">
        <v>61</v>
      </c>
      <c r="MIK134" t="s">
        <v>61</v>
      </c>
      <c r="MIL134" t="s">
        <v>61</v>
      </c>
      <c r="MIM134" t="s">
        <v>61</v>
      </c>
      <c r="MIN134" t="s">
        <v>61</v>
      </c>
      <c r="MIO134" t="s">
        <v>61</v>
      </c>
      <c r="MIP134" t="s">
        <v>61</v>
      </c>
      <c r="MIQ134" t="s">
        <v>61</v>
      </c>
      <c r="MIR134" t="s">
        <v>61</v>
      </c>
      <c r="MIS134" t="s">
        <v>61</v>
      </c>
      <c r="MIT134" t="s">
        <v>61</v>
      </c>
      <c r="MIU134" t="s">
        <v>61</v>
      </c>
      <c r="MIV134" t="s">
        <v>61</v>
      </c>
      <c r="MIW134" t="s">
        <v>61</v>
      </c>
      <c r="MIX134" t="s">
        <v>61</v>
      </c>
      <c r="MIY134" t="s">
        <v>61</v>
      </c>
      <c r="MIZ134" t="s">
        <v>61</v>
      </c>
      <c r="MJA134" t="s">
        <v>61</v>
      </c>
      <c r="MJB134" t="s">
        <v>61</v>
      </c>
      <c r="MJC134" t="s">
        <v>61</v>
      </c>
      <c r="MJD134" t="s">
        <v>61</v>
      </c>
      <c r="MJE134" t="s">
        <v>61</v>
      </c>
      <c r="MJF134" t="s">
        <v>61</v>
      </c>
      <c r="MJG134" t="s">
        <v>61</v>
      </c>
      <c r="MJH134" t="s">
        <v>61</v>
      </c>
      <c r="MJI134" t="s">
        <v>61</v>
      </c>
      <c r="MJJ134" t="s">
        <v>61</v>
      </c>
      <c r="MJK134" t="s">
        <v>61</v>
      </c>
      <c r="MJL134" t="s">
        <v>61</v>
      </c>
      <c r="MJM134" t="s">
        <v>61</v>
      </c>
      <c r="MJN134" t="s">
        <v>61</v>
      </c>
      <c r="MJO134" t="s">
        <v>61</v>
      </c>
      <c r="MJP134" t="s">
        <v>61</v>
      </c>
      <c r="MJQ134" t="s">
        <v>61</v>
      </c>
      <c r="MJR134" t="s">
        <v>61</v>
      </c>
      <c r="MJS134" t="s">
        <v>61</v>
      </c>
      <c r="MJT134" t="s">
        <v>61</v>
      </c>
      <c r="MJU134" t="s">
        <v>61</v>
      </c>
      <c r="MJV134" t="s">
        <v>61</v>
      </c>
      <c r="MJW134" t="s">
        <v>61</v>
      </c>
      <c r="MJX134" t="s">
        <v>61</v>
      </c>
      <c r="MJY134" t="s">
        <v>61</v>
      </c>
      <c r="MJZ134" t="s">
        <v>61</v>
      </c>
      <c r="MKA134" t="s">
        <v>61</v>
      </c>
      <c r="MKB134" t="s">
        <v>61</v>
      </c>
      <c r="MKC134" t="s">
        <v>61</v>
      </c>
      <c r="MKD134" t="s">
        <v>61</v>
      </c>
      <c r="MKE134" t="s">
        <v>61</v>
      </c>
      <c r="MKF134" t="s">
        <v>61</v>
      </c>
      <c r="MKG134" t="s">
        <v>61</v>
      </c>
      <c r="MKH134" t="s">
        <v>61</v>
      </c>
      <c r="MKI134" t="s">
        <v>61</v>
      </c>
      <c r="MKJ134" t="s">
        <v>61</v>
      </c>
      <c r="MKK134" t="s">
        <v>61</v>
      </c>
      <c r="MKL134" t="s">
        <v>61</v>
      </c>
      <c r="MKM134" t="s">
        <v>61</v>
      </c>
      <c r="MKN134" t="s">
        <v>61</v>
      </c>
      <c r="MKO134" t="s">
        <v>61</v>
      </c>
      <c r="MKP134" t="s">
        <v>61</v>
      </c>
      <c r="MKQ134" t="s">
        <v>61</v>
      </c>
      <c r="MKR134" t="s">
        <v>61</v>
      </c>
      <c r="MKS134" t="s">
        <v>61</v>
      </c>
      <c r="MKT134" t="s">
        <v>61</v>
      </c>
      <c r="MKU134" t="s">
        <v>61</v>
      </c>
      <c r="MKV134" t="s">
        <v>61</v>
      </c>
      <c r="MKW134" t="s">
        <v>61</v>
      </c>
      <c r="MKX134" t="s">
        <v>61</v>
      </c>
      <c r="MKY134" t="s">
        <v>61</v>
      </c>
      <c r="MKZ134" t="s">
        <v>61</v>
      </c>
      <c r="MLA134" t="s">
        <v>61</v>
      </c>
      <c r="MLB134" t="s">
        <v>61</v>
      </c>
      <c r="MLC134" t="s">
        <v>61</v>
      </c>
      <c r="MLD134" t="s">
        <v>61</v>
      </c>
      <c r="MLE134" t="s">
        <v>61</v>
      </c>
      <c r="MLF134" t="s">
        <v>61</v>
      </c>
      <c r="MLG134" t="s">
        <v>61</v>
      </c>
      <c r="MLH134" t="s">
        <v>61</v>
      </c>
      <c r="MLI134" t="s">
        <v>61</v>
      </c>
      <c r="MLJ134" t="s">
        <v>61</v>
      </c>
      <c r="MLK134" t="s">
        <v>61</v>
      </c>
      <c r="MLL134" t="s">
        <v>61</v>
      </c>
      <c r="MLM134" t="s">
        <v>61</v>
      </c>
      <c r="MLN134" t="s">
        <v>61</v>
      </c>
      <c r="MLO134" t="s">
        <v>61</v>
      </c>
      <c r="MLP134" t="s">
        <v>61</v>
      </c>
      <c r="MLQ134" t="s">
        <v>61</v>
      </c>
      <c r="MLR134" t="s">
        <v>61</v>
      </c>
      <c r="MLS134" t="s">
        <v>61</v>
      </c>
      <c r="MLT134" t="s">
        <v>61</v>
      </c>
      <c r="MLU134" t="s">
        <v>61</v>
      </c>
      <c r="MLV134" t="s">
        <v>61</v>
      </c>
      <c r="MLW134" t="s">
        <v>61</v>
      </c>
      <c r="MLX134" t="s">
        <v>61</v>
      </c>
      <c r="MLY134" t="s">
        <v>61</v>
      </c>
      <c r="MLZ134" t="s">
        <v>61</v>
      </c>
      <c r="MMA134" t="s">
        <v>61</v>
      </c>
      <c r="MMB134" t="s">
        <v>61</v>
      </c>
      <c r="MMC134" t="s">
        <v>61</v>
      </c>
      <c r="MMD134" t="s">
        <v>61</v>
      </c>
      <c r="MME134" t="s">
        <v>61</v>
      </c>
      <c r="MMF134" t="s">
        <v>61</v>
      </c>
      <c r="MMG134" t="s">
        <v>61</v>
      </c>
      <c r="MMH134" t="s">
        <v>61</v>
      </c>
      <c r="MMI134" t="s">
        <v>61</v>
      </c>
      <c r="MMJ134" t="s">
        <v>61</v>
      </c>
      <c r="MMK134" t="s">
        <v>61</v>
      </c>
      <c r="MML134" t="s">
        <v>61</v>
      </c>
      <c r="MMM134" t="s">
        <v>61</v>
      </c>
      <c r="MMN134" t="s">
        <v>61</v>
      </c>
      <c r="MMO134" t="s">
        <v>61</v>
      </c>
      <c r="MMP134" t="s">
        <v>61</v>
      </c>
      <c r="MMQ134" t="s">
        <v>61</v>
      </c>
      <c r="MMR134" t="s">
        <v>61</v>
      </c>
      <c r="MMS134" t="s">
        <v>61</v>
      </c>
      <c r="MMT134" t="s">
        <v>61</v>
      </c>
      <c r="MMU134" t="s">
        <v>61</v>
      </c>
      <c r="MMV134" t="s">
        <v>61</v>
      </c>
      <c r="MMW134" t="s">
        <v>61</v>
      </c>
      <c r="MMX134" t="s">
        <v>61</v>
      </c>
      <c r="MMY134" t="s">
        <v>61</v>
      </c>
      <c r="MMZ134" t="s">
        <v>61</v>
      </c>
      <c r="MNA134" t="s">
        <v>61</v>
      </c>
      <c r="MNB134" t="s">
        <v>61</v>
      </c>
      <c r="MNC134" t="s">
        <v>61</v>
      </c>
      <c r="MND134" t="s">
        <v>61</v>
      </c>
      <c r="MNE134" t="s">
        <v>61</v>
      </c>
      <c r="MNF134" t="s">
        <v>61</v>
      </c>
      <c r="MNG134" t="s">
        <v>61</v>
      </c>
      <c r="MNH134" t="s">
        <v>61</v>
      </c>
      <c r="MNI134" t="s">
        <v>61</v>
      </c>
      <c r="MNJ134" t="s">
        <v>61</v>
      </c>
      <c r="MNK134" t="s">
        <v>61</v>
      </c>
      <c r="MNL134" t="s">
        <v>61</v>
      </c>
      <c r="MNM134" t="s">
        <v>61</v>
      </c>
      <c r="MNN134" t="s">
        <v>61</v>
      </c>
      <c r="MNO134" t="s">
        <v>61</v>
      </c>
      <c r="MNP134" t="s">
        <v>61</v>
      </c>
      <c r="MNQ134" t="s">
        <v>61</v>
      </c>
      <c r="MNR134" t="s">
        <v>61</v>
      </c>
      <c r="MNS134" t="s">
        <v>61</v>
      </c>
      <c r="MNT134" t="s">
        <v>61</v>
      </c>
      <c r="MNU134" t="s">
        <v>61</v>
      </c>
      <c r="MNV134" t="s">
        <v>61</v>
      </c>
      <c r="MNW134" t="s">
        <v>61</v>
      </c>
      <c r="MNX134" t="s">
        <v>61</v>
      </c>
      <c r="MNY134" t="s">
        <v>61</v>
      </c>
      <c r="MNZ134" t="s">
        <v>61</v>
      </c>
      <c r="MOA134" t="s">
        <v>61</v>
      </c>
      <c r="MOB134" t="s">
        <v>61</v>
      </c>
      <c r="MOC134" t="s">
        <v>61</v>
      </c>
      <c r="MOD134" t="s">
        <v>61</v>
      </c>
      <c r="MOE134" t="s">
        <v>61</v>
      </c>
      <c r="MOF134" t="s">
        <v>61</v>
      </c>
      <c r="MOG134" t="s">
        <v>61</v>
      </c>
      <c r="MOH134" t="s">
        <v>61</v>
      </c>
      <c r="MOI134" t="s">
        <v>61</v>
      </c>
      <c r="MOJ134" t="s">
        <v>61</v>
      </c>
      <c r="MOK134" t="s">
        <v>61</v>
      </c>
      <c r="MOL134" t="s">
        <v>61</v>
      </c>
      <c r="MOM134" t="s">
        <v>61</v>
      </c>
      <c r="MON134" t="s">
        <v>61</v>
      </c>
      <c r="MOO134" t="s">
        <v>61</v>
      </c>
      <c r="MOP134" t="s">
        <v>61</v>
      </c>
      <c r="MOQ134" t="s">
        <v>61</v>
      </c>
      <c r="MOR134" t="s">
        <v>61</v>
      </c>
      <c r="MOS134" t="s">
        <v>61</v>
      </c>
      <c r="MOT134" t="s">
        <v>61</v>
      </c>
      <c r="MOU134" t="s">
        <v>61</v>
      </c>
      <c r="MOV134" t="s">
        <v>61</v>
      </c>
      <c r="MOW134" t="s">
        <v>61</v>
      </c>
      <c r="MOX134" t="s">
        <v>61</v>
      </c>
      <c r="MOY134" t="s">
        <v>61</v>
      </c>
      <c r="MOZ134" t="s">
        <v>61</v>
      </c>
      <c r="MPA134" t="s">
        <v>61</v>
      </c>
      <c r="MPB134" t="s">
        <v>61</v>
      </c>
      <c r="MPC134" t="s">
        <v>61</v>
      </c>
      <c r="MPD134" t="s">
        <v>61</v>
      </c>
      <c r="MPE134" t="s">
        <v>61</v>
      </c>
      <c r="MPF134" t="s">
        <v>61</v>
      </c>
      <c r="MPG134" t="s">
        <v>61</v>
      </c>
      <c r="MPH134" t="s">
        <v>61</v>
      </c>
      <c r="MPI134" t="s">
        <v>61</v>
      </c>
      <c r="MPJ134" t="s">
        <v>61</v>
      </c>
      <c r="MPK134" t="s">
        <v>61</v>
      </c>
      <c r="MPL134" t="s">
        <v>61</v>
      </c>
      <c r="MPM134" t="s">
        <v>61</v>
      </c>
      <c r="MPN134" t="s">
        <v>61</v>
      </c>
      <c r="MPO134" t="s">
        <v>61</v>
      </c>
      <c r="MPP134" t="s">
        <v>61</v>
      </c>
      <c r="MPQ134" t="s">
        <v>61</v>
      </c>
      <c r="MPR134" t="s">
        <v>61</v>
      </c>
      <c r="MPS134" t="s">
        <v>61</v>
      </c>
      <c r="MPT134" t="s">
        <v>61</v>
      </c>
      <c r="MPU134" t="s">
        <v>61</v>
      </c>
      <c r="MPV134" t="s">
        <v>61</v>
      </c>
      <c r="MPW134" t="s">
        <v>61</v>
      </c>
      <c r="MPX134" t="s">
        <v>61</v>
      </c>
      <c r="MPY134" t="s">
        <v>61</v>
      </c>
      <c r="MPZ134" t="s">
        <v>61</v>
      </c>
      <c r="MQA134" t="s">
        <v>61</v>
      </c>
      <c r="MQB134" t="s">
        <v>61</v>
      </c>
      <c r="MQC134" t="s">
        <v>61</v>
      </c>
      <c r="MQD134" t="s">
        <v>61</v>
      </c>
      <c r="MQE134" t="s">
        <v>61</v>
      </c>
      <c r="MQF134" t="s">
        <v>61</v>
      </c>
      <c r="MQG134" t="s">
        <v>61</v>
      </c>
      <c r="MQH134" t="s">
        <v>61</v>
      </c>
      <c r="MQI134" t="s">
        <v>61</v>
      </c>
      <c r="MQJ134" t="s">
        <v>61</v>
      </c>
      <c r="MQK134" t="s">
        <v>61</v>
      </c>
      <c r="MQL134" t="s">
        <v>61</v>
      </c>
      <c r="MQM134" t="s">
        <v>61</v>
      </c>
      <c r="MQN134" t="s">
        <v>61</v>
      </c>
      <c r="MQO134" t="s">
        <v>61</v>
      </c>
      <c r="MQP134" t="s">
        <v>61</v>
      </c>
      <c r="MQQ134" t="s">
        <v>61</v>
      </c>
      <c r="MQR134" t="s">
        <v>61</v>
      </c>
      <c r="MQS134" t="s">
        <v>61</v>
      </c>
      <c r="MQT134" t="s">
        <v>61</v>
      </c>
      <c r="MQU134" t="s">
        <v>61</v>
      </c>
      <c r="MQV134" t="s">
        <v>61</v>
      </c>
      <c r="MQW134" t="s">
        <v>61</v>
      </c>
      <c r="MQX134" t="s">
        <v>61</v>
      </c>
      <c r="MQY134" t="s">
        <v>61</v>
      </c>
      <c r="MQZ134" t="s">
        <v>61</v>
      </c>
      <c r="MRA134" t="s">
        <v>61</v>
      </c>
      <c r="MRB134" t="s">
        <v>61</v>
      </c>
      <c r="MRC134" t="s">
        <v>61</v>
      </c>
      <c r="MRD134" t="s">
        <v>61</v>
      </c>
      <c r="MRE134" t="s">
        <v>61</v>
      </c>
      <c r="MRF134" t="s">
        <v>61</v>
      </c>
      <c r="MRG134" t="s">
        <v>61</v>
      </c>
      <c r="MRH134" t="s">
        <v>61</v>
      </c>
      <c r="MRI134" t="s">
        <v>61</v>
      </c>
      <c r="MRJ134" t="s">
        <v>61</v>
      </c>
      <c r="MRK134" t="s">
        <v>61</v>
      </c>
      <c r="MRL134" t="s">
        <v>61</v>
      </c>
      <c r="MRM134" t="s">
        <v>61</v>
      </c>
      <c r="MRN134" t="s">
        <v>61</v>
      </c>
      <c r="MRO134" t="s">
        <v>61</v>
      </c>
      <c r="MRP134" t="s">
        <v>61</v>
      </c>
      <c r="MRQ134" t="s">
        <v>61</v>
      </c>
      <c r="MRR134" t="s">
        <v>61</v>
      </c>
      <c r="MRS134" t="s">
        <v>61</v>
      </c>
      <c r="MRT134" t="s">
        <v>61</v>
      </c>
      <c r="MRU134" t="s">
        <v>61</v>
      </c>
      <c r="MRV134" t="s">
        <v>61</v>
      </c>
      <c r="MRW134" t="s">
        <v>61</v>
      </c>
      <c r="MRX134" t="s">
        <v>61</v>
      </c>
      <c r="MRY134" t="s">
        <v>61</v>
      </c>
      <c r="MRZ134" t="s">
        <v>61</v>
      </c>
      <c r="MSA134" t="s">
        <v>61</v>
      </c>
      <c r="MSB134" t="s">
        <v>61</v>
      </c>
      <c r="MSC134" t="s">
        <v>61</v>
      </c>
      <c r="MSD134" t="s">
        <v>61</v>
      </c>
      <c r="MSE134" t="s">
        <v>61</v>
      </c>
      <c r="MSF134" t="s">
        <v>61</v>
      </c>
      <c r="MSG134" t="s">
        <v>61</v>
      </c>
      <c r="MSH134" t="s">
        <v>61</v>
      </c>
      <c r="MSI134" t="s">
        <v>61</v>
      </c>
      <c r="MSJ134" t="s">
        <v>61</v>
      </c>
      <c r="MSK134" t="s">
        <v>61</v>
      </c>
      <c r="MSL134" t="s">
        <v>61</v>
      </c>
      <c r="MSM134" t="s">
        <v>61</v>
      </c>
      <c r="MSN134" t="s">
        <v>61</v>
      </c>
      <c r="MSO134" t="s">
        <v>61</v>
      </c>
      <c r="MSP134" t="s">
        <v>61</v>
      </c>
      <c r="MSQ134" t="s">
        <v>61</v>
      </c>
      <c r="MSR134" t="s">
        <v>61</v>
      </c>
      <c r="MSS134" t="s">
        <v>61</v>
      </c>
      <c r="MST134" t="s">
        <v>61</v>
      </c>
      <c r="MSU134" t="s">
        <v>61</v>
      </c>
      <c r="MSV134" t="s">
        <v>61</v>
      </c>
      <c r="MSW134" t="s">
        <v>61</v>
      </c>
      <c r="MSX134" t="s">
        <v>61</v>
      </c>
      <c r="MSY134" t="s">
        <v>61</v>
      </c>
      <c r="MSZ134" t="s">
        <v>61</v>
      </c>
      <c r="MTA134" t="s">
        <v>61</v>
      </c>
      <c r="MTB134" t="s">
        <v>61</v>
      </c>
      <c r="MTC134" t="s">
        <v>61</v>
      </c>
      <c r="MTD134" t="s">
        <v>61</v>
      </c>
      <c r="MTE134" t="s">
        <v>61</v>
      </c>
      <c r="MTF134" t="s">
        <v>61</v>
      </c>
      <c r="MTG134" t="s">
        <v>61</v>
      </c>
      <c r="MTH134" t="s">
        <v>61</v>
      </c>
      <c r="MTI134" t="s">
        <v>61</v>
      </c>
      <c r="MTJ134" t="s">
        <v>61</v>
      </c>
      <c r="MTK134" t="s">
        <v>61</v>
      </c>
      <c r="MTL134" t="s">
        <v>61</v>
      </c>
      <c r="MTM134" t="s">
        <v>61</v>
      </c>
      <c r="MTN134" t="s">
        <v>61</v>
      </c>
      <c r="MTO134" t="s">
        <v>61</v>
      </c>
      <c r="MTP134" t="s">
        <v>61</v>
      </c>
      <c r="MTQ134" t="s">
        <v>61</v>
      </c>
      <c r="MTR134" t="s">
        <v>61</v>
      </c>
      <c r="MTS134" t="s">
        <v>61</v>
      </c>
      <c r="MTT134" t="s">
        <v>61</v>
      </c>
      <c r="MTU134" t="s">
        <v>61</v>
      </c>
      <c r="MTV134" t="s">
        <v>61</v>
      </c>
      <c r="MTW134" t="s">
        <v>61</v>
      </c>
      <c r="MTX134" t="s">
        <v>61</v>
      </c>
      <c r="MTY134" t="s">
        <v>61</v>
      </c>
      <c r="MTZ134" t="s">
        <v>61</v>
      </c>
      <c r="MUA134" t="s">
        <v>61</v>
      </c>
      <c r="MUB134" t="s">
        <v>61</v>
      </c>
      <c r="MUC134" t="s">
        <v>61</v>
      </c>
      <c r="MUD134" t="s">
        <v>61</v>
      </c>
      <c r="MUE134" t="s">
        <v>61</v>
      </c>
      <c r="MUF134" t="s">
        <v>61</v>
      </c>
      <c r="MUG134" t="s">
        <v>61</v>
      </c>
      <c r="MUH134" t="s">
        <v>61</v>
      </c>
      <c r="MUI134" t="s">
        <v>61</v>
      </c>
      <c r="MUJ134" t="s">
        <v>61</v>
      </c>
      <c r="MUK134" t="s">
        <v>61</v>
      </c>
      <c r="MUL134" t="s">
        <v>61</v>
      </c>
      <c r="MUM134" t="s">
        <v>61</v>
      </c>
      <c r="MUN134" t="s">
        <v>61</v>
      </c>
      <c r="MUO134" t="s">
        <v>61</v>
      </c>
      <c r="MUP134" t="s">
        <v>61</v>
      </c>
      <c r="MUQ134" t="s">
        <v>61</v>
      </c>
      <c r="MUR134" t="s">
        <v>61</v>
      </c>
      <c r="MUS134" t="s">
        <v>61</v>
      </c>
      <c r="MUT134" t="s">
        <v>61</v>
      </c>
      <c r="MUU134" t="s">
        <v>61</v>
      </c>
      <c r="MUV134" t="s">
        <v>61</v>
      </c>
      <c r="MUW134" t="s">
        <v>61</v>
      </c>
      <c r="MUX134" t="s">
        <v>61</v>
      </c>
      <c r="MUY134" t="s">
        <v>61</v>
      </c>
      <c r="MUZ134" t="s">
        <v>61</v>
      </c>
      <c r="MVA134" t="s">
        <v>61</v>
      </c>
      <c r="MVB134" t="s">
        <v>61</v>
      </c>
      <c r="MVC134" t="s">
        <v>61</v>
      </c>
      <c r="MVD134" t="s">
        <v>61</v>
      </c>
      <c r="MVE134" t="s">
        <v>61</v>
      </c>
      <c r="MVF134" t="s">
        <v>61</v>
      </c>
      <c r="MVG134" t="s">
        <v>61</v>
      </c>
      <c r="MVH134" t="s">
        <v>61</v>
      </c>
      <c r="MVI134" t="s">
        <v>61</v>
      </c>
      <c r="MVJ134" t="s">
        <v>61</v>
      </c>
      <c r="MVK134" t="s">
        <v>61</v>
      </c>
      <c r="MVL134" t="s">
        <v>61</v>
      </c>
      <c r="MVM134" t="s">
        <v>61</v>
      </c>
      <c r="MVN134" t="s">
        <v>61</v>
      </c>
      <c r="MVO134" t="s">
        <v>61</v>
      </c>
      <c r="MVP134" t="s">
        <v>61</v>
      </c>
      <c r="MVQ134" t="s">
        <v>61</v>
      </c>
      <c r="MVR134" t="s">
        <v>61</v>
      </c>
      <c r="MVS134" t="s">
        <v>61</v>
      </c>
      <c r="MVT134" t="s">
        <v>61</v>
      </c>
      <c r="MVU134" t="s">
        <v>61</v>
      </c>
      <c r="MVV134" t="s">
        <v>61</v>
      </c>
      <c r="MVW134" t="s">
        <v>61</v>
      </c>
      <c r="MVX134" t="s">
        <v>61</v>
      </c>
      <c r="MVY134" t="s">
        <v>61</v>
      </c>
      <c r="MVZ134" t="s">
        <v>61</v>
      </c>
      <c r="MWA134" t="s">
        <v>61</v>
      </c>
      <c r="MWB134" t="s">
        <v>61</v>
      </c>
      <c r="MWC134" t="s">
        <v>61</v>
      </c>
      <c r="MWD134" t="s">
        <v>61</v>
      </c>
      <c r="MWE134" t="s">
        <v>61</v>
      </c>
      <c r="MWF134" t="s">
        <v>61</v>
      </c>
      <c r="MWG134" t="s">
        <v>61</v>
      </c>
      <c r="MWH134" t="s">
        <v>61</v>
      </c>
      <c r="MWI134" t="s">
        <v>61</v>
      </c>
      <c r="MWJ134" t="s">
        <v>61</v>
      </c>
      <c r="MWK134" t="s">
        <v>61</v>
      </c>
      <c r="MWL134" t="s">
        <v>61</v>
      </c>
      <c r="MWM134" t="s">
        <v>61</v>
      </c>
      <c r="MWN134" t="s">
        <v>61</v>
      </c>
      <c r="MWO134" t="s">
        <v>61</v>
      </c>
      <c r="MWP134" t="s">
        <v>61</v>
      </c>
      <c r="MWQ134" t="s">
        <v>61</v>
      </c>
      <c r="MWR134" t="s">
        <v>61</v>
      </c>
      <c r="MWS134" t="s">
        <v>61</v>
      </c>
      <c r="MWT134" t="s">
        <v>61</v>
      </c>
      <c r="MWU134" t="s">
        <v>61</v>
      </c>
      <c r="MWV134" t="s">
        <v>61</v>
      </c>
      <c r="MWW134" t="s">
        <v>61</v>
      </c>
      <c r="MWX134" t="s">
        <v>61</v>
      </c>
      <c r="MWY134" t="s">
        <v>61</v>
      </c>
      <c r="MWZ134" t="s">
        <v>61</v>
      </c>
      <c r="MXA134" t="s">
        <v>61</v>
      </c>
      <c r="MXB134" t="s">
        <v>61</v>
      </c>
      <c r="MXC134" t="s">
        <v>61</v>
      </c>
      <c r="MXD134" t="s">
        <v>61</v>
      </c>
      <c r="MXE134" t="s">
        <v>61</v>
      </c>
      <c r="MXF134" t="s">
        <v>61</v>
      </c>
      <c r="MXG134" t="s">
        <v>61</v>
      </c>
      <c r="MXH134" t="s">
        <v>61</v>
      </c>
      <c r="MXI134" t="s">
        <v>61</v>
      </c>
      <c r="MXJ134" t="s">
        <v>61</v>
      </c>
      <c r="MXK134" t="s">
        <v>61</v>
      </c>
      <c r="MXL134" t="s">
        <v>61</v>
      </c>
      <c r="MXM134" t="s">
        <v>61</v>
      </c>
      <c r="MXN134" t="s">
        <v>61</v>
      </c>
      <c r="MXO134" t="s">
        <v>61</v>
      </c>
      <c r="MXP134" t="s">
        <v>61</v>
      </c>
      <c r="MXQ134" t="s">
        <v>61</v>
      </c>
      <c r="MXR134" t="s">
        <v>61</v>
      </c>
      <c r="MXS134" t="s">
        <v>61</v>
      </c>
      <c r="MXT134" t="s">
        <v>61</v>
      </c>
      <c r="MXU134" t="s">
        <v>61</v>
      </c>
      <c r="MXV134" t="s">
        <v>61</v>
      </c>
      <c r="MXW134" t="s">
        <v>61</v>
      </c>
      <c r="MXX134" t="s">
        <v>61</v>
      </c>
      <c r="MXY134" t="s">
        <v>61</v>
      </c>
      <c r="MXZ134" t="s">
        <v>61</v>
      </c>
      <c r="MYA134" t="s">
        <v>61</v>
      </c>
      <c r="MYB134" t="s">
        <v>61</v>
      </c>
      <c r="MYC134" t="s">
        <v>61</v>
      </c>
      <c r="MYD134" t="s">
        <v>61</v>
      </c>
      <c r="MYE134" t="s">
        <v>61</v>
      </c>
      <c r="MYF134" t="s">
        <v>61</v>
      </c>
      <c r="MYG134" t="s">
        <v>61</v>
      </c>
      <c r="MYH134" t="s">
        <v>61</v>
      </c>
      <c r="MYI134" t="s">
        <v>61</v>
      </c>
      <c r="MYJ134" t="s">
        <v>61</v>
      </c>
      <c r="MYK134" t="s">
        <v>61</v>
      </c>
      <c r="MYL134" t="s">
        <v>61</v>
      </c>
      <c r="MYM134" t="s">
        <v>61</v>
      </c>
      <c r="MYN134" t="s">
        <v>61</v>
      </c>
      <c r="MYO134" t="s">
        <v>61</v>
      </c>
      <c r="MYP134" t="s">
        <v>61</v>
      </c>
      <c r="MYQ134" t="s">
        <v>61</v>
      </c>
      <c r="MYR134" t="s">
        <v>61</v>
      </c>
      <c r="MYS134" t="s">
        <v>61</v>
      </c>
      <c r="MYT134" t="s">
        <v>61</v>
      </c>
      <c r="MYU134" t="s">
        <v>61</v>
      </c>
      <c r="MYV134" t="s">
        <v>61</v>
      </c>
      <c r="MYW134" t="s">
        <v>61</v>
      </c>
      <c r="MYX134" t="s">
        <v>61</v>
      </c>
      <c r="MYY134" t="s">
        <v>61</v>
      </c>
      <c r="MYZ134" t="s">
        <v>61</v>
      </c>
      <c r="MZA134" t="s">
        <v>61</v>
      </c>
      <c r="MZB134" t="s">
        <v>61</v>
      </c>
      <c r="MZC134" t="s">
        <v>61</v>
      </c>
      <c r="MZD134" t="s">
        <v>61</v>
      </c>
      <c r="MZE134" t="s">
        <v>61</v>
      </c>
      <c r="MZF134" t="s">
        <v>61</v>
      </c>
      <c r="MZG134" t="s">
        <v>61</v>
      </c>
      <c r="MZH134" t="s">
        <v>61</v>
      </c>
      <c r="MZI134" t="s">
        <v>61</v>
      </c>
      <c r="MZJ134" t="s">
        <v>61</v>
      </c>
      <c r="MZK134" t="s">
        <v>61</v>
      </c>
      <c r="MZL134" t="s">
        <v>61</v>
      </c>
      <c r="MZM134" t="s">
        <v>61</v>
      </c>
      <c r="MZN134" t="s">
        <v>61</v>
      </c>
      <c r="MZO134" t="s">
        <v>61</v>
      </c>
      <c r="MZP134" t="s">
        <v>61</v>
      </c>
      <c r="MZQ134" t="s">
        <v>61</v>
      </c>
      <c r="MZR134" t="s">
        <v>61</v>
      </c>
      <c r="MZS134" t="s">
        <v>61</v>
      </c>
      <c r="MZT134" t="s">
        <v>61</v>
      </c>
      <c r="MZU134" t="s">
        <v>61</v>
      </c>
      <c r="MZV134" t="s">
        <v>61</v>
      </c>
      <c r="MZW134" t="s">
        <v>61</v>
      </c>
      <c r="MZX134" t="s">
        <v>61</v>
      </c>
      <c r="MZY134" t="s">
        <v>61</v>
      </c>
      <c r="MZZ134" t="s">
        <v>61</v>
      </c>
      <c r="NAA134" t="s">
        <v>61</v>
      </c>
      <c r="NAB134" t="s">
        <v>61</v>
      </c>
      <c r="NAC134" t="s">
        <v>61</v>
      </c>
      <c r="NAD134" t="s">
        <v>61</v>
      </c>
      <c r="NAE134" t="s">
        <v>61</v>
      </c>
      <c r="NAF134" t="s">
        <v>61</v>
      </c>
      <c r="NAG134" t="s">
        <v>61</v>
      </c>
      <c r="NAH134" t="s">
        <v>61</v>
      </c>
      <c r="NAI134" t="s">
        <v>61</v>
      </c>
      <c r="NAJ134" t="s">
        <v>61</v>
      </c>
      <c r="NAK134" t="s">
        <v>61</v>
      </c>
      <c r="NAL134" t="s">
        <v>61</v>
      </c>
      <c r="NAM134" t="s">
        <v>61</v>
      </c>
      <c r="NAN134" t="s">
        <v>61</v>
      </c>
      <c r="NAO134" t="s">
        <v>61</v>
      </c>
      <c r="NAP134" t="s">
        <v>61</v>
      </c>
      <c r="NAQ134" t="s">
        <v>61</v>
      </c>
      <c r="NAR134" t="s">
        <v>61</v>
      </c>
      <c r="NAS134" t="s">
        <v>61</v>
      </c>
      <c r="NAT134" t="s">
        <v>61</v>
      </c>
      <c r="NAU134" t="s">
        <v>61</v>
      </c>
      <c r="NAV134" t="s">
        <v>61</v>
      </c>
      <c r="NAW134" t="s">
        <v>61</v>
      </c>
      <c r="NAX134" t="s">
        <v>61</v>
      </c>
      <c r="NAY134" t="s">
        <v>61</v>
      </c>
      <c r="NAZ134" t="s">
        <v>61</v>
      </c>
      <c r="NBA134" t="s">
        <v>61</v>
      </c>
      <c r="NBB134" t="s">
        <v>61</v>
      </c>
      <c r="NBC134" t="s">
        <v>61</v>
      </c>
      <c r="NBD134" t="s">
        <v>61</v>
      </c>
      <c r="NBE134" t="s">
        <v>61</v>
      </c>
      <c r="NBF134" t="s">
        <v>61</v>
      </c>
      <c r="NBG134" t="s">
        <v>61</v>
      </c>
      <c r="NBH134" t="s">
        <v>61</v>
      </c>
      <c r="NBI134" t="s">
        <v>61</v>
      </c>
      <c r="NBJ134" t="s">
        <v>61</v>
      </c>
      <c r="NBK134" t="s">
        <v>61</v>
      </c>
      <c r="NBL134" t="s">
        <v>61</v>
      </c>
      <c r="NBM134" t="s">
        <v>61</v>
      </c>
      <c r="NBN134" t="s">
        <v>61</v>
      </c>
      <c r="NBO134" t="s">
        <v>61</v>
      </c>
      <c r="NBP134" t="s">
        <v>61</v>
      </c>
      <c r="NBQ134" t="s">
        <v>61</v>
      </c>
      <c r="NBR134" t="s">
        <v>61</v>
      </c>
      <c r="NBS134" t="s">
        <v>61</v>
      </c>
      <c r="NBT134" t="s">
        <v>61</v>
      </c>
      <c r="NBU134" t="s">
        <v>61</v>
      </c>
      <c r="NBV134" t="s">
        <v>61</v>
      </c>
      <c r="NBW134" t="s">
        <v>61</v>
      </c>
      <c r="NBX134" t="s">
        <v>61</v>
      </c>
      <c r="NBY134" t="s">
        <v>61</v>
      </c>
      <c r="NBZ134" t="s">
        <v>61</v>
      </c>
      <c r="NCA134" t="s">
        <v>61</v>
      </c>
      <c r="NCB134" t="s">
        <v>61</v>
      </c>
      <c r="NCC134" t="s">
        <v>61</v>
      </c>
      <c r="NCD134" t="s">
        <v>61</v>
      </c>
      <c r="NCE134" t="s">
        <v>61</v>
      </c>
      <c r="NCF134" t="s">
        <v>61</v>
      </c>
      <c r="NCG134" t="s">
        <v>61</v>
      </c>
      <c r="NCH134" t="s">
        <v>61</v>
      </c>
      <c r="NCI134" t="s">
        <v>61</v>
      </c>
      <c r="NCJ134" t="s">
        <v>61</v>
      </c>
      <c r="NCK134" t="s">
        <v>61</v>
      </c>
      <c r="NCL134" t="s">
        <v>61</v>
      </c>
      <c r="NCM134" t="s">
        <v>61</v>
      </c>
      <c r="NCN134" t="s">
        <v>61</v>
      </c>
      <c r="NCO134" t="s">
        <v>61</v>
      </c>
      <c r="NCP134" t="s">
        <v>61</v>
      </c>
      <c r="NCQ134" t="s">
        <v>61</v>
      </c>
      <c r="NCR134" t="s">
        <v>61</v>
      </c>
      <c r="NCS134" t="s">
        <v>61</v>
      </c>
      <c r="NCT134" t="s">
        <v>61</v>
      </c>
      <c r="NCU134" t="s">
        <v>61</v>
      </c>
      <c r="NCV134" t="s">
        <v>61</v>
      </c>
      <c r="NCW134" t="s">
        <v>61</v>
      </c>
      <c r="NCX134" t="s">
        <v>61</v>
      </c>
      <c r="NCY134" t="s">
        <v>61</v>
      </c>
      <c r="NCZ134" t="s">
        <v>61</v>
      </c>
      <c r="NDA134" t="s">
        <v>61</v>
      </c>
      <c r="NDB134" t="s">
        <v>61</v>
      </c>
      <c r="NDC134" t="s">
        <v>61</v>
      </c>
      <c r="NDD134" t="s">
        <v>61</v>
      </c>
      <c r="NDE134" t="s">
        <v>61</v>
      </c>
      <c r="NDF134" t="s">
        <v>61</v>
      </c>
      <c r="NDG134" t="s">
        <v>61</v>
      </c>
      <c r="NDH134" t="s">
        <v>61</v>
      </c>
      <c r="NDI134" t="s">
        <v>61</v>
      </c>
      <c r="NDJ134" t="s">
        <v>61</v>
      </c>
      <c r="NDK134" t="s">
        <v>61</v>
      </c>
      <c r="NDL134" t="s">
        <v>61</v>
      </c>
      <c r="NDM134" t="s">
        <v>61</v>
      </c>
      <c r="NDN134" t="s">
        <v>61</v>
      </c>
      <c r="NDO134" t="s">
        <v>61</v>
      </c>
      <c r="NDP134" t="s">
        <v>61</v>
      </c>
      <c r="NDQ134" t="s">
        <v>61</v>
      </c>
      <c r="NDR134" t="s">
        <v>61</v>
      </c>
      <c r="NDS134" t="s">
        <v>61</v>
      </c>
      <c r="NDT134" t="s">
        <v>61</v>
      </c>
      <c r="NDU134" t="s">
        <v>61</v>
      </c>
      <c r="NDV134" t="s">
        <v>61</v>
      </c>
      <c r="NDW134" t="s">
        <v>61</v>
      </c>
      <c r="NDX134" t="s">
        <v>61</v>
      </c>
      <c r="NDY134" t="s">
        <v>61</v>
      </c>
      <c r="NDZ134" t="s">
        <v>61</v>
      </c>
      <c r="NEA134" t="s">
        <v>61</v>
      </c>
      <c r="NEB134" t="s">
        <v>61</v>
      </c>
      <c r="NEC134" t="s">
        <v>61</v>
      </c>
      <c r="NED134" t="s">
        <v>61</v>
      </c>
      <c r="NEE134" t="s">
        <v>61</v>
      </c>
      <c r="NEF134" t="s">
        <v>61</v>
      </c>
      <c r="NEG134" t="s">
        <v>61</v>
      </c>
      <c r="NEH134" t="s">
        <v>61</v>
      </c>
      <c r="NEI134" t="s">
        <v>61</v>
      </c>
      <c r="NEJ134" t="s">
        <v>61</v>
      </c>
      <c r="NEK134" t="s">
        <v>61</v>
      </c>
      <c r="NEL134" t="s">
        <v>61</v>
      </c>
      <c r="NEM134" t="s">
        <v>61</v>
      </c>
      <c r="NEN134" t="s">
        <v>61</v>
      </c>
      <c r="NEO134" t="s">
        <v>61</v>
      </c>
      <c r="NEP134" t="s">
        <v>61</v>
      </c>
      <c r="NEQ134" t="s">
        <v>61</v>
      </c>
      <c r="NER134" t="s">
        <v>61</v>
      </c>
      <c r="NES134" t="s">
        <v>61</v>
      </c>
      <c r="NET134" t="s">
        <v>61</v>
      </c>
      <c r="NEU134" t="s">
        <v>61</v>
      </c>
      <c r="NEV134" t="s">
        <v>61</v>
      </c>
      <c r="NEW134" t="s">
        <v>61</v>
      </c>
      <c r="NEX134" t="s">
        <v>61</v>
      </c>
      <c r="NEY134" t="s">
        <v>61</v>
      </c>
      <c r="NEZ134" t="s">
        <v>61</v>
      </c>
      <c r="NFA134" t="s">
        <v>61</v>
      </c>
      <c r="NFB134" t="s">
        <v>61</v>
      </c>
      <c r="NFC134" t="s">
        <v>61</v>
      </c>
      <c r="NFD134" t="s">
        <v>61</v>
      </c>
      <c r="NFE134" t="s">
        <v>61</v>
      </c>
      <c r="NFF134" t="s">
        <v>61</v>
      </c>
      <c r="NFG134" t="s">
        <v>61</v>
      </c>
      <c r="NFH134" t="s">
        <v>61</v>
      </c>
      <c r="NFI134" t="s">
        <v>61</v>
      </c>
      <c r="NFJ134" t="s">
        <v>61</v>
      </c>
      <c r="NFK134" t="s">
        <v>61</v>
      </c>
      <c r="NFL134" t="s">
        <v>61</v>
      </c>
      <c r="NFM134" t="s">
        <v>61</v>
      </c>
      <c r="NFN134" t="s">
        <v>61</v>
      </c>
      <c r="NFO134" t="s">
        <v>61</v>
      </c>
      <c r="NFP134" t="s">
        <v>61</v>
      </c>
      <c r="NFQ134" t="s">
        <v>61</v>
      </c>
      <c r="NFR134" t="s">
        <v>61</v>
      </c>
      <c r="NFS134" t="s">
        <v>61</v>
      </c>
      <c r="NFT134" t="s">
        <v>61</v>
      </c>
      <c r="NFU134" t="s">
        <v>61</v>
      </c>
      <c r="NFV134" t="s">
        <v>61</v>
      </c>
      <c r="NFW134" t="s">
        <v>61</v>
      </c>
      <c r="NFX134" t="s">
        <v>61</v>
      </c>
      <c r="NFY134" t="s">
        <v>61</v>
      </c>
      <c r="NFZ134" t="s">
        <v>61</v>
      </c>
      <c r="NGA134" t="s">
        <v>61</v>
      </c>
      <c r="NGB134" t="s">
        <v>61</v>
      </c>
      <c r="NGC134" t="s">
        <v>61</v>
      </c>
      <c r="NGD134" t="s">
        <v>61</v>
      </c>
      <c r="NGE134" t="s">
        <v>61</v>
      </c>
      <c r="NGF134" t="s">
        <v>61</v>
      </c>
      <c r="NGG134" t="s">
        <v>61</v>
      </c>
      <c r="NGH134" t="s">
        <v>61</v>
      </c>
      <c r="NGI134" t="s">
        <v>61</v>
      </c>
      <c r="NGJ134" t="s">
        <v>61</v>
      </c>
      <c r="NGK134" t="s">
        <v>61</v>
      </c>
      <c r="NGL134" t="s">
        <v>61</v>
      </c>
      <c r="NGM134" t="s">
        <v>61</v>
      </c>
      <c r="NGN134" t="s">
        <v>61</v>
      </c>
      <c r="NGO134" t="s">
        <v>61</v>
      </c>
      <c r="NGP134" t="s">
        <v>61</v>
      </c>
      <c r="NGQ134" t="s">
        <v>61</v>
      </c>
      <c r="NGR134" t="s">
        <v>61</v>
      </c>
      <c r="NGS134" t="s">
        <v>61</v>
      </c>
      <c r="NGT134" t="s">
        <v>61</v>
      </c>
      <c r="NGU134" t="s">
        <v>61</v>
      </c>
      <c r="NGV134" t="s">
        <v>61</v>
      </c>
      <c r="NGW134" t="s">
        <v>61</v>
      </c>
      <c r="NGX134" t="s">
        <v>61</v>
      </c>
      <c r="NGY134" t="s">
        <v>61</v>
      </c>
      <c r="NGZ134" t="s">
        <v>61</v>
      </c>
      <c r="NHA134" t="s">
        <v>61</v>
      </c>
      <c r="NHB134" t="s">
        <v>61</v>
      </c>
      <c r="NHC134" t="s">
        <v>61</v>
      </c>
      <c r="NHD134" t="s">
        <v>61</v>
      </c>
      <c r="NHE134" t="s">
        <v>61</v>
      </c>
      <c r="NHF134" t="s">
        <v>61</v>
      </c>
      <c r="NHG134" t="s">
        <v>61</v>
      </c>
      <c r="NHH134" t="s">
        <v>61</v>
      </c>
      <c r="NHI134" t="s">
        <v>61</v>
      </c>
      <c r="NHJ134" t="s">
        <v>61</v>
      </c>
      <c r="NHK134" t="s">
        <v>61</v>
      </c>
      <c r="NHL134" t="s">
        <v>61</v>
      </c>
      <c r="NHM134" t="s">
        <v>61</v>
      </c>
      <c r="NHN134" t="s">
        <v>61</v>
      </c>
      <c r="NHO134" t="s">
        <v>61</v>
      </c>
      <c r="NHP134" t="s">
        <v>61</v>
      </c>
      <c r="NHQ134" t="s">
        <v>61</v>
      </c>
      <c r="NHR134" t="s">
        <v>61</v>
      </c>
      <c r="NHS134" t="s">
        <v>61</v>
      </c>
      <c r="NHT134" t="s">
        <v>61</v>
      </c>
      <c r="NHU134" t="s">
        <v>61</v>
      </c>
      <c r="NHV134" t="s">
        <v>61</v>
      </c>
      <c r="NHW134" t="s">
        <v>61</v>
      </c>
      <c r="NHX134" t="s">
        <v>61</v>
      </c>
      <c r="NHY134" t="s">
        <v>61</v>
      </c>
      <c r="NHZ134" t="s">
        <v>61</v>
      </c>
      <c r="NIA134" t="s">
        <v>61</v>
      </c>
      <c r="NIB134" t="s">
        <v>61</v>
      </c>
      <c r="NIC134" t="s">
        <v>61</v>
      </c>
      <c r="NID134" t="s">
        <v>61</v>
      </c>
      <c r="NIE134" t="s">
        <v>61</v>
      </c>
      <c r="NIF134" t="s">
        <v>61</v>
      </c>
      <c r="NIG134" t="s">
        <v>61</v>
      </c>
      <c r="NIH134" t="s">
        <v>61</v>
      </c>
      <c r="NII134" t="s">
        <v>61</v>
      </c>
      <c r="NIJ134" t="s">
        <v>61</v>
      </c>
      <c r="NIK134" t="s">
        <v>61</v>
      </c>
      <c r="NIL134" t="s">
        <v>61</v>
      </c>
      <c r="NIM134" t="s">
        <v>61</v>
      </c>
      <c r="NIN134" t="s">
        <v>61</v>
      </c>
      <c r="NIO134" t="s">
        <v>61</v>
      </c>
      <c r="NIP134" t="s">
        <v>61</v>
      </c>
      <c r="NIQ134" t="s">
        <v>61</v>
      </c>
      <c r="NIR134" t="s">
        <v>61</v>
      </c>
      <c r="NIS134" t="s">
        <v>61</v>
      </c>
      <c r="NIT134" t="s">
        <v>61</v>
      </c>
      <c r="NIU134" t="s">
        <v>61</v>
      </c>
      <c r="NIV134" t="s">
        <v>61</v>
      </c>
      <c r="NIW134" t="s">
        <v>61</v>
      </c>
      <c r="NIX134" t="s">
        <v>61</v>
      </c>
      <c r="NIY134" t="s">
        <v>61</v>
      </c>
      <c r="NIZ134" t="s">
        <v>61</v>
      </c>
      <c r="NJA134" t="s">
        <v>61</v>
      </c>
      <c r="NJB134" t="s">
        <v>61</v>
      </c>
      <c r="NJC134" t="s">
        <v>61</v>
      </c>
      <c r="NJD134" t="s">
        <v>61</v>
      </c>
      <c r="NJE134" t="s">
        <v>61</v>
      </c>
      <c r="NJF134" t="s">
        <v>61</v>
      </c>
      <c r="NJG134" t="s">
        <v>61</v>
      </c>
      <c r="NJH134" t="s">
        <v>61</v>
      </c>
      <c r="NJI134" t="s">
        <v>61</v>
      </c>
      <c r="NJJ134" t="s">
        <v>61</v>
      </c>
      <c r="NJK134" t="s">
        <v>61</v>
      </c>
      <c r="NJL134" t="s">
        <v>61</v>
      </c>
      <c r="NJM134" t="s">
        <v>61</v>
      </c>
      <c r="NJN134" t="s">
        <v>61</v>
      </c>
      <c r="NJO134" t="s">
        <v>61</v>
      </c>
      <c r="NJP134" t="s">
        <v>61</v>
      </c>
      <c r="NJQ134" t="s">
        <v>61</v>
      </c>
      <c r="NJR134" t="s">
        <v>61</v>
      </c>
      <c r="NJS134" t="s">
        <v>61</v>
      </c>
      <c r="NJT134" t="s">
        <v>61</v>
      </c>
      <c r="NJU134" t="s">
        <v>61</v>
      </c>
      <c r="NJV134" t="s">
        <v>61</v>
      </c>
      <c r="NJW134" t="s">
        <v>61</v>
      </c>
      <c r="NJX134" t="s">
        <v>61</v>
      </c>
      <c r="NJY134" t="s">
        <v>61</v>
      </c>
      <c r="NJZ134" t="s">
        <v>61</v>
      </c>
      <c r="NKA134" t="s">
        <v>61</v>
      </c>
      <c r="NKB134" t="s">
        <v>61</v>
      </c>
      <c r="NKC134" t="s">
        <v>61</v>
      </c>
      <c r="NKD134" t="s">
        <v>61</v>
      </c>
      <c r="NKE134" t="s">
        <v>61</v>
      </c>
      <c r="NKF134" t="s">
        <v>61</v>
      </c>
      <c r="NKG134" t="s">
        <v>61</v>
      </c>
      <c r="NKH134" t="s">
        <v>61</v>
      </c>
      <c r="NKI134" t="s">
        <v>61</v>
      </c>
      <c r="NKJ134" t="s">
        <v>61</v>
      </c>
      <c r="NKK134" t="s">
        <v>61</v>
      </c>
      <c r="NKL134" t="s">
        <v>61</v>
      </c>
      <c r="NKM134" t="s">
        <v>61</v>
      </c>
      <c r="NKN134" t="s">
        <v>61</v>
      </c>
      <c r="NKO134" t="s">
        <v>61</v>
      </c>
      <c r="NKP134" t="s">
        <v>61</v>
      </c>
      <c r="NKQ134" t="s">
        <v>61</v>
      </c>
      <c r="NKR134" t="s">
        <v>61</v>
      </c>
      <c r="NKS134" t="s">
        <v>61</v>
      </c>
      <c r="NKT134" t="s">
        <v>61</v>
      </c>
      <c r="NKU134" t="s">
        <v>61</v>
      </c>
      <c r="NKV134" t="s">
        <v>61</v>
      </c>
      <c r="NKW134" t="s">
        <v>61</v>
      </c>
      <c r="NKX134" t="s">
        <v>61</v>
      </c>
      <c r="NKY134" t="s">
        <v>61</v>
      </c>
      <c r="NKZ134" t="s">
        <v>61</v>
      </c>
      <c r="NLA134" t="s">
        <v>61</v>
      </c>
      <c r="NLB134" t="s">
        <v>61</v>
      </c>
      <c r="NLC134" t="s">
        <v>61</v>
      </c>
      <c r="NLD134" t="s">
        <v>61</v>
      </c>
      <c r="NLE134" t="s">
        <v>61</v>
      </c>
      <c r="NLF134" t="s">
        <v>61</v>
      </c>
      <c r="NLG134" t="s">
        <v>61</v>
      </c>
      <c r="NLH134" t="s">
        <v>61</v>
      </c>
      <c r="NLI134" t="s">
        <v>61</v>
      </c>
      <c r="NLJ134" t="s">
        <v>61</v>
      </c>
      <c r="NLK134" t="s">
        <v>61</v>
      </c>
      <c r="NLL134" t="s">
        <v>61</v>
      </c>
      <c r="NLM134" t="s">
        <v>61</v>
      </c>
      <c r="NLN134" t="s">
        <v>61</v>
      </c>
      <c r="NLO134" t="s">
        <v>61</v>
      </c>
      <c r="NLP134" t="s">
        <v>61</v>
      </c>
      <c r="NLQ134" t="s">
        <v>61</v>
      </c>
      <c r="NLR134" t="s">
        <v>61</v>
      </c>
      <c r="NLS134" t="s">
        <v>61</v>
      </c>
      <c r="NLT134" t="s">
        <v>61</v>
      </c>
      <c r="NLU134" t="s">
        <v>61</v>
      </c>
      <c r="NLV134" t="s">
        <v>61</v>
      </c>
      <c r="NLW134" t="s">
        <v>61</v>
      </c>
      <c r="NLX134" t="s">
        <v>61</v>
      </c>
      <c r="NLY134" t="s">
        <v>61</v>
      </c>
      <c r="NLZ134" t="s">
        <v>61</v>
      </c>
      <c r="NMA134" t="s">
        <v>61</v>
      </c>
      <c r="NMB134" t="s">
        <v>61</v>
      </c>
      <c r="NMC134" t="s">
        <v>61</v>
      </c>
      <c r="NMD134" t="s">
        <v>61</v>
      </c>
      <c r="NME134" t="s">
        <v>61</v>
      </c>
      <c r="NMF134" t="s">
        <v>61</v>
      </c>
      <c r="NMG134" t="s">
        <v>61</v>
      </c>
      <c r="NMH134" t="s">
        <v>61</v>
      </c>
      <c r="NMI134" t="s">
        <v>61</v>
      </c>
      <c r="NMJ134" t="s">
        <v>61</v>
      </c>
      <c r="NMK134" t="s">
        <v>61</v>
      </c>
      <c r="NML134" t="s">
        <v>61</v>
      </c>
      <c r="NMM134" t="s">
        <v>61</v>
      </c>
      <c r="NMN134" t="s">
        <v>61</v>
      </c>
      <c r="NMO134" t="s">
        <v>61</v>
      </c>
      <c r="NMP134" t="s">
        <v>61</v>
      </c>
      <c r="NMQ134" t="s">
        <v>61</v>
      </c>
      <c r="NMR134" t="s">
        <v>61</v>
      </c>
      <c r="NMS134" t="s">
        <v>61</v>
      </c>
      <c r="NMT134" t="s">
        <v>61</v>
      </c>
      <c r="NMU134" t="s">
        <v>61</v>
      </c>
      <c r="NMV134" t="s">
        <v>61</v>
      </c>
      <c r="NMW134" t="s">
        <v>61</v>
      </c>
      <c r="NMX134" t="s">
        <v>61</v>
      </c>
      <c r="NMY134" t="s">
        <v>61</v>
      </c>
      <c r="NMZ134" t="s">
        <v>61</v>
      </c>
      <c r="NNA134" t="s">
        <v>61</v>
      </c>
      <c r="NNB134" t="s">
        <v>61</v>
      </c>
      <c r="NNC134" t="s">
        <v>61</v>
      </c>
      <c r="NND134" t="s">
        <v>61</v>
      </c>
      <c r="NNE134" t="s">
        <v>61</v>
      </c>
      <c r="NNF134" t="s">
        <v>61</v>
      </c>
      <c r="NNG134" t="s">
        <v>61</v>
      </c>
      <c r="NNH134" t="s">
        <v>61</v>
      </c>
      <c r="NNI134" t="s">
        <v>61</v>
      </c>
      <c r="NNJ134" t="s">
        <v>61</v>
      </c>
      <c r="NNK134" t="s">
        <v>61</v>
      </c>
      <c r="NNL134" t="s">
        <v>61</v>
      </c>
      <c r="NNM134" t="s">
        <v>61</v>
      </c>
      <c r="NNN134" t="s">
        <v>61</v>
      </c>
      <c r="NNO134" t="s">
        <v>61</v>
      </c>
      <c r="NNP134" t="s">
        <v>61</v>
      </c>
      <c r="NNQ134" t="s">
        <v>61</v>
      </c>
      <c r="NNR134" t="s">
        <v>61</v>
      </c>
      <c r="NNS134" t="s">
        <v>61</v>
      </c>
      <c r="NNT134" t="s">
        <v>61</v>
      </c>
      <c r="NNU134" t="s">
        <v>61</v>
      </c>
      <c r="NNV134" t="s">
        <v>61</v>
      </c>
      <c r="NNW134" t="s">
        <v>61</v>
      </c>
      <c r="NNX134" t="s">
        <v>61</v>
      </c>
      <c r="NNY134" t="s">
        <v>61</v>
      </c>
      <c r="NNZ134" t="s">
        <v>61</v>
      </c>
      <c r="NOA134" t="s">
        <v>61</v>
      </c>
      <c r="NOB134" t="s">
        <v>61</v>
      </c>
      <c r="NOC134" t="s">
        <v>61</v>
      </c>
      <c r="NOD134" t="s">
        <v>61</v>
      </c>
      <c r="NOE134" t="s">
        <v>61</v>
      </c>
      <c r="NOF134" t="s">
        <v>61</v>
      </c>
      <c r="NOG134" t="s">
        <v>61</v>
      </c>
      <c r="NOH134" t="s">
        <v>61</v>
      </c>
      <c r="NOI134" t="s">
        <v>61</v>
      </c>
      <c r="NOJ134" t="s">
        <v>61</v>
      </c>
      <c r="NOK134" t="s">
        <v>61</v>
      </c>
      <c r="NOL134" t="s">
        <v>61</v>
      </c>
      <c r="NOM134" t="s">
        <v>61</v>
      </c>
      <c r="NON134" t="s">
        <v>61</v>
      </c>
      <c r="NOO134" t="s">
        <v>61</v>
      </c>
      <c r="NOP134" t="s">
        <v>61</v>
      </c>
      <c r="NOQ134" t="s">
        <v>61</v>
      </c>
      <c r="NOR134" t="s">
        <v>61</v>
      </c>
      <c r="NOS134" t="s">
        <v>61</v>
      </c>
      <c r="NOT134" t="s">
        <v>61</v>
      </c>
      <c r="NOU134" t="s">
        <v>61</v>
      </c>
      <c r="NOV134" t="s">
        <v>61</v>
      </c>
      <c r="NOW134" t="s">
        <v>61</v>
      </c>
      <c r="NOX134" t="s">
        <v>61</v>
      </c>
      <c r="NOY134" t="s">
        <v>61</v>
      </c>
      <c r="NOZ134" t="s">
        <v>61</v>
      </c>
      <c r="NPA134" t="s">
        <v>61</v>
      </c>
      <c r="NPB134" t="s">
        <v>61</v>
      </c>
      <c r="NPC134" t="s">
        <v>61</v>
      </c>
      <c r="NPD134" t="s">
        <v>61</v>
      </c>
      <c r="NPE134" t="s">
        <v>61</v>
      </c>
      <c r="NPF134" t="s">
        <v>61</v>
      </c>
      <c r="NPG134" t="s">
        <v>61</v>
      </c>
      <c r="NPH134" t="s">
        <v>61</v>
      </c>
      <c r="NPI134" t="s">
        <v>61</v>
      </c>
      <c r="NPJ134" t="s">
        <v>61</v>
      </c>
      <c r="NPK134" t="s">
        <v>61</v>
      </c>
      <c r="NPL134" t="s">
        <v>61</v>
      </c>
      <c r="NPM134" t="s">
        <v>61</v>
      </c>
      <c r="NPN134" t="s">
        <v>61</v>
      </c>
      <c r="NPO134" t="s">
        <v>61</v>
      </c>
      <c r="NPP134" t="s">
        <v>61</v>
      </c>
      <c r="NPQ134" t="s">
        <v>61</v>
      </c>
      <c r="NPR134" t="s">
        <v>61</v>
      </c>
      <c r="NPS134" t="s">
        <v>61</v>
      </c>
      <c r="NPT134" t="s">
        <v>61</v>
      </c>
      <c r="NPU134" t="s">
        <v>61</v>
      </c>
      <c r="NPV134" t="s">
        <v>61</v>
      </c>
      <c r="NPW134" t="s">
        <v>61</v>
      </c>
      <c r="NPX134" t="s">
        <v>61</v>
      </c>
      <c r="NPY134" t="s">
        <v>61</v>
      </c>
      <c r="NPZ134" t="s">
        <v>61</v>
      </c>
      <c r="NQA134" t="s">
        <v>61</v>
      </c>
      <c r="NQB134" t="s">
        <v>61</v>
      </c>
      <c r="NQC134" t="s">
        <v>61</v>
      </c>
      <c r="NQD134" t="s">
        <v>61</v>
      </c>
      <c r="NQE134" t="s">
        <v>61</v>
      </c>
      <c r="NQF134" t="s">
        <v>61</v>
      </c>
      <c r="NQG134" t="s">
        <v>61</v>
      </c>
      <c r="NQH134" t="s">
        <v>61</v>
      </c>
      <c r="NQI134" t="s">
        <v>61</v>
      </c>
      <c r="NQJ134" t="s">
        <v>61</v>
      </c>
      <c r="NQK134" t="s">
        <v>61</v>
      </c>
      <c r="NQL134" t="s">
        <v>61</v>
      </c>
      <c r="NQM134" t="s">
        <v>61</v>
      </c>
      <c r="NQN134" t="s">
        <v>61</v>
      </c>
      <c r="NQO134" t="s">
        <v>61</v>
      </c>
      <c r="NQP134" t="s">
        <v>61</v>
      </c>
      <c r="NQQ134" t="s">
        <v>61</v>
      </c>
      <c r="NQR134" t="s">
        <v>61</v>
      </c>
      <c r="NQS134" t="s">
        <v>61</v>
      </c>
      <c r="NQT134" t="s">
        <v>61</v>
      </c>
      <c r="NQU134" t="s">
        <v>61</v>
      </c>
      <c r="NQV134" t="s">
        <v>61</v>
      </c>
      <c r="NQW134" t="s">
        <v>61</v>
      </c>
      <c r="NQX134" t="s">
        <v>61</v>
      </c>
      <c r="NQY134" t="s">
        <v>61</v>
      </c>
      <c r="NQZ134" t="s">
        <v>61</v>
      </c>
      <c r="NRA134" t="s">
        <v>61</v>
      </c>
      <c r="NRB134" t="s">
        <v>61</v>
      </c>
      <c r="NRC134" t="s">
        <v>61</v>
      </c>
      <c r="NRD134" t="s">
        <v>61</v>
      </c>
      <c r="NRE134" t="s">
        <v>61</v>
      </c>
      <c r="NRF134" t="s">
        <v>61</v>
      </c>
      <c r="NRG134" t="s">
        <v>61</v>
      </c>
      <c r="NRH134" t="s">
        <v>61</v>
      </c>
      <c r="NRI134" t="s">
        <v>61</v>
      </c>
      <c r="NRJ134" t="s">
        <v>61</v>
      </c>
      <c r="NRK134" t="s">
        <v>61</v>
      </c>
      <c r="NRL134" t="s">
        <v>61</v>
      </c>
      <c r="NRM134" t="s">
        <v>61</v>
      </c>
      <c r="NRN134" t="s">
        <v>61</v>
      </c>
      <c r="NRO134" t="s">
        <v>61</v>
      </c>
      <c r="NRP134" t="s">
        <v>61</v>
      </c>
      <c r="NRQ134" t="s">
        <v>61</v>
      </c>
      <c r="NRR134" t="s">
        <v>61</v>
      </c>
      <c r="NRS134" t="s">
        <v>61</v>
      </c>
      <c r="NRT134" t="s">
        <v>61</v>
      </c>
      <c r="NRU134" t="s">
        <v>61</v>
      </c>
      <c r="NRV134" t="s">
        <v>61</v>
      </c>
      <c r="NRW134" t="s">
        <v>61</v>
      </c>
      <c r="NRX134" t="s">
        <v>61</v>
      </c>
      <c r="NRY134" t="s">
        <v>61</v>
      </c>
      <c r="NRZ134" t="s">
        <v>61</v>
      </c>
      <c r="NSA134" t="s">
        <v>61</v>
      </c>
      <c r="NSB134" t="s">
        <v>61</v>
      </c>
      <c r="NSC134" t="s">
        <v>61</v>
      </c>
      <c r="NSD134" t="s">
        <v>61</v>
      </c>
      <c r="NSE134" t="s">
        <v>61</v>
      </c>
      <c r="NSF134" t="s">
        <v>61</v>
      </c>
      <c r="NSG134" t="s">
        <v>61</v>
      </c>
      <c r="NSH134" t="s">
        <v>61</v>
      </c>
      <c r="NSI134" t="s">
        <v>61</v>
      </c>
      <c r="NSJ134" t="s">
        <v>61</v>
      </c>
      <c r="NSK134" t="s">
        <v>61</v>
      </c>
      <c r="NSL134" t="s">
        <v>61</v>
      </c>
      <c r="NSM134" t="s">
        <v>61</v>
      </c>
      <c r="NSN134" t="s">
        <v>61</v>
      </c>
      <c r="NSO134" t="s">
        <v>61</v>
      </c>
      <c r="NSP134" t="s">
        <v>61</v>
      </c>
      <c r="NSQ134" t="s">
        <v>61</v>
      </c>
      <c r="NSR134" t="s">
        <v>61</v>
      </c>
      <c r="NSS134" t="s">
        <v>61</v>
      </c>
      <c r="NST134" t="s">
        <v>61</v>
      </c>
      <c r="NSU134" t="s">
        <v>61</v>
      </c>
      <c r="NSV134" t="s">
        <v>61</v>
      </c>
      <c r="NSW134" t="s">
        <v>61</v>
      </c>
      <c r="NSX134" t="s">
        <v>61</v>
      </c>
      <c r="NSY134" t="s">
        <v>61</v>
      </c>
      <c r="NSZ134" t="s">
        <v>61</v>
      </c>
      <c r="NTA134" t="s">
        <v>61</v>
      </c>
      <c r="NTB134" t="s">
        <v>61</v>
      </c>
      <c r="NTC134" t="s">
        <v>61</v>
      </c>
      <c r="NTD134" t="s">
        <v>61</v>
      </c>
      <c r="NTE134" t="s">
        <v>61</v>
      </c>
      <c r="NTF134" t="s">
        <v>61</v>
      </c>
      <c r="NTG134" t="s">
        <v>61</v>
      </c>
      <c r="NTH134" t="s">
        <v>61</v>
      </c>
      <c r="NTI134" t="s">
        <v>61</v>
      </c>
      <c r="NTJ134" t="s">
        <v>61</v>
      </c>
      <c r="NTK134" t="s">
        <v>61</v>
      </c>
      <c r="NTL134" t="s">
        <v>61</v>
      </c>
      <c r="NTM134" t="s">
        <v>61</v>
      </c>
      <c r="NTN134" t="s">
        <v>61</v>
      </c>
      <c r="NTO134" t="s">
        <v>61</v>
      </c>
      <c r="NTP134" t="s">
        <v>61</v>
      </c>
      <c r="NTQ134" t="s">
        <v>61</v>
      </c>
      <c r="NTR134" t="s">
        <v>61</v>
      </c>
      <c r="NTS134" t="s">
        <v>61</v>
      </c>
      <c r="NTT134" t="s">
        <v>61</v>
      </c>
      <c r="NTU134" t="s">
        <v>61</v>
      </c>
      <c r="NTV134" t="s">
        <v>61</v>
      </c>
      <c r="NTW134" t="s">
        <v>61</v>
      </c>
      <c r="NTX134" t="s">
        <v>61</v>
      </c>
      <c r="NTY134" t="s">
        <v>61</v>
      </c>
      <c r="NTZ134" t="s">
        <v>61</v>
      </c>
      <c r="NUA134" t="s">
        <v>61</v>
      </c>
      <c r="NUB134" t="s">
        <v>61</v>
      </c>
      <c r="NUC134" t="s">
        <v>61</v>
      </c>
      <c r="NUD134" t="s">
        <v>61</v>
      </c>
      <c r="NUE134" t="s">
        <v>61</v>
      </c>
      <c r="NUF134" t="s">
        <v>61</v>
      </c>
      <c r="NUG134" t="s">
        <v>61</v>
      </c>
      <c r="NUH134" t="s">
        <v>61</v>
      </c>
      <c r="NUI134" t="s">
        <v>61</v>
      </c>
      <c r="NUJ134" t="s">
        <v>61</v>
      </c>
      <c r="NUK134" t="s">
        <v>61</v>
      </c>
      <c r="NUL134" t="s">
        <v>61</v>
      </c>
      <c r="NUM134" t="s">
        <v>61</v>
      </c>
      <c r="NUN134" t="s">
        <v>61</v>
      </c>
      <c r="NUO134" t="s">
        <v>61</v>
      </c>
      <c r="NUP134" t="s">
        <v>61</v>
      </c>
      <c r="NUQ134" t="s">
        <v>61</v>
      </c>
      <c r="NUR134" t="s">
        <v>61</v>
      </c>
      <c r="NUS134" t="s">
        <v>61</v>
      </c>
      <c r="NUT134" t="s">
        <v>61</v>
      </c>
      <c r="NUU134" t="s">
        <v>61</v>
      </c>
      <c r="NUV134" t="s">
        <v>61</v>
      </c>
      <c r="NUW134" t="s">
        <v>61</v>
      </c>
      <c r="NUX134" t="s">
        <v>61</v>
      </c>
      <c r="NUY134" t="s">
        <v>61</v>
      </c>
      <c r="NUZ134" t="s">
        <v>61</v>
      </c>
      <c r="NVA134" t="s">
        <v>61</v>
      </c>
      <c r="NVB134" t="s">
        <v>61</v>
      </c>
      <c r="NVC134" t="s">
        <v>61</v>
      </c>
      <c r="NVD134" t="s">
        <v>61</v>
      </c>
      <c r="NVE134" t="s">
        <v>61</v>
      </c>
      <c r="NVF134" t="s">
        <v>61</v>
      </c>
      <c r="NVG134" t="s">
        <v>61</v>
      </c>
      <c r="NVH134" t="s">
        <v>61</v>
      </c>
      <c r="NVI134" t="s">
        <v>61</v>
      </c>
      <c r="NVJ134" t="s">
        <v>61</v>
      </c>
      <c r="NVK134" t="s">
        <v>61</v>
      </c>
      <c r="NVL134" t="s">
        <v>61</v>
      </c>
      <c r="NVM134" t="s">
        <v>61</v>
      </c>
      <c r="NVN134" t="s">
        <v>61</v>
      </c>
      <c r="NVO134" t="s">
        <v>61</v>
      </c>
      <c r="NVP134" t="s">
        <v>61</v>
      </c>
      <c r="NVQ134" t="s">
        <v>61</v>
      </c>
      <c r="NVR134" t="s">
        <v>61</v>
      </c>
      <c r="NVS134" t="s">
        <v>61</v>
      </c>
      <c r="NVT134" t="s">
        <v>61</v>
      </c>
      <c r="NVU134" t="s">
        <v>61</v>
      </c>
      <c r="NVV134" t="s">
        <v>61</v>
      </c>
      <c r="NVW134" t="s">
        <v>61</v>
      </c>
      <c r="NVX134" t="s">
        <v>61</v>
      </c>
      <c r="NVY134" t="s">
        <v>61</v>
      </c>
      <c r="NVZ134" t="s">
        <v>61</v>
      </c>
      <c r="NWA134" t="s">
        <v>61</v>
      </c>
      <c r="NWB134" t="s">
        <v>61</v>
      </c>
      <c r="NWC134" t="s">
        <v>61</v>
      </c>
      <c r="NWD134" t="s">
        <v>61</v>
      </c>
      <c r="NWE134" t="s">
        <v>61</v>
      </c>
      <c r="NWF134" t="s">
        <v>61</v>
      </c>
      <c r="NWG134" t="s">
        <v>61</v>
      </c>
      <c r="NWH134" t="s">
        <v>61</v>
      </c>
      <c r="NWI134" t="s">
        <v>61</v>
      </c>
      <c r="NWJ134" t="s">
        <v>61</v>
      </c>
      <c r="NWK134" t="s">
        <v>61</v>
      </c>
      <c r="NWL134" t="s">
        <v>61</v>
      </c>
      <c r="NWM134" t="s">
        <v>61</v>
      </c>
      <c r="NWN134" t="s">
        <v>61</v>
      </c>
      <c r="NWO134" t="s">
        <v>61</v>
      </c>
      <c r="NWP134" t="s">
        <v>61</v>
      </c>
      <c r="NWQ134" t="s">
        <v>61</v>
      </c>
      <c r="NWR134" t="s">
        <v>61</v>
      </c>
      <c r="NWS134" t="s">
        <v>61</v>
      </c>
      <c r="NWT134" t="s">
        <v>61</v>
      </c>
      <c r="NWU134" t="s">
        <v>61</v>
      </c>
      <c r="NWV134" t="s">
        <v>61</v>
      </c>
      <c r="NWW134" t="s">
        <v>61</v>
      </c>
      <c r="NWX134" t="s">
        <v>61</v>
      </c>
      <c r="NWY134" t="s">
        <v>61</v>
      </c>
      <c r="NWZ134" t="s">
        <v>61</v>
      </c>
      <c r="NXA134" t="s">
        <v>61</v>
      </c>
      <c r="NXB134" t="s">
        <v>61</v>
      </c>
      <c r="NXC134" t="s">
        <v>61</v>
      </c>
      <c r="NXD134" t="s">
        <v>61</v>
      </c>
      <c r="NXE134" t="s">
        <v>61</v>
      </c>
      <c r="NXF134" t="s">
        <v>61</v>
      </c>
      <c r="NXG134" t="s">
        <v>61</v>
      </c>
      <c r="NXH134" t="s">
        <v>61</v>
      </c>
      <c r="NXI134" t="s">
        <v>61</v>
      </c>
      <c r="NXJ134" t="s">
        <v>61</v>
      </c>
      <c r="NXK134" t="s">
        <v>61</v>
      </c>
      <c r="NXL134" t="s">
        <v>61</v>
      </c>
      <c r="NXM134" t="s">
        <v>61</v>
      </c>
      <c r="NXN134" t="s">
        <v>61</v>
      </c>
      <c r="NXO134" t="s">
        <v>61</v>
      </c>
      <c r="NXP134" t="s">
        <v>61</v>
      </c>
      <c r="NXQ134" t="s">
        <v>61</v>
      </c>
      <c r="NXR134" t="s">
        <v>61</v>
      </c>
      <c r="NXS134" t="s">
        <v>61</v>
      </c>
      <c r="NXT134" t="s">
        <v>61</v>
      </c>
      <c r="NXU134" t="s">
        <v>61</v>
      </c>
      <c r="NXV134" t="s">
        <v>61</v>
      </c>
      <c r="NXW134" t="s">
        <v>61</v>
      </c>
      <c r="NXX134" t="s">
        <v>61</v>
      </c>
      <c r="NXY134" t="s">
        <v>61</v>
      </c>
      <c r="NXZ134" t="s">
        <v>61</v>
      </c>
      <c r="NYA134" t="s">
        <v>61</v>
      </c>
      <c r="NYB134" t="s">
        <v>61</v>
      </c>
      <c r="NYC134" t="s">
        <v>61</v>
      </c>
      <c r="NYD134" t="s">
        <v>61</v>
      </c>
      <c r="NYE134" t="s">
        <v>61</v>
      </c>
      <c r="NYF134" t="s">
        <v>61</v>
      </c>
      <c r="NYG134" t="s">
        <v>61</v>
      </c>
      <c r="NYH134" t="s">
        <v>61</v>
      </c>
      <c r="NYI134" t="s">
        <v>61</v>
      </c>
      <c r="NYJ134" t="s">
        <v>61</v>
      </c>
      <c r="NYK134" t="s">
        <v>61</v>
      </c>
      <c r="NYL134" t="s">
        <v>61</v>
      </c>
      <c r="NYM134" t="s">
        <v>61</v>
      </c>
      <c r="NYN134" t="s">
        <v>61</v>
      </c>
      <c r="NYO134" t="s">
        <v>61</v>
      </c>
      <c r="NYP134" t="s">
        <v>61</v>
      </c>
      <c r="NYQ134" t="s">
        <v>61</v>
      </c>
      <c r="NYR134" t="s">
        <v>61</v>
      </c>
      <c r="NYS134" t="s">
        <v>61</v>
      </c>
      <c r="NYT134" t="s">
        <v>61</v>
      </c>
      <c r="NYU134" t="s">
        <v>61</v>
      </c>
      <c r="NYV134" t="s">
        <v>61</v>
      </c>
      <c r="NYW134" t="s">
        <v>61</v>
      </c>
      <c r="NYX134" t="s">
        <v>61</v>
      </c>
      <c r="NYY134" t="s">
        <v>61</v>
      </c>
      <c r="NYZ134" t="s">
        <v>61</v>
      </c>
      <c r="NZA134" t="s">
        <v>61</v>
      </c>
      <c r="NZB134" t="s">
        <v>61</v>
      </c>
      <c r="NZC134" t="s">
        <v>61</v>
      </c>
      <c r="NZD134" t="s">
        <v>61</v>
      </c>
      <c r="NZE134" t="s">
        <v>61</v>
      </c>
      <c r="NZF134" t="s">
        <v>61</v>
      </c>
      <c r="NZG134" t="s">
        <v>61</v>
      </c>
      <c r="NZH134" t="s">
        <v>61</v>
      </c>
      <c r="NZI134" t="s">
        <v>61</v>
      </c>
      <c r="NZJ134" t="s">
        <v>61</v>
      </c>
      <c r="NZK134" t="s">
        <v>61</v>
      </c>
      <c r="NZL134" t="s">
        <v>61</v>
      </c>
      <c r="NZM134" t="s">
        <v>61</v>
      </c>
      <c r="NZN134" t="s">
        <v>61</v>
      </c>
      <c r="NZO134" t="s">
        <v>61</v>
      </c>
      <c r="NZP134" t="s">
        <v>61</v>
      </c>
      <c r="NZQ134" t="s">
        <v>61</v>
      </c>
      <c r="NZR134" t="s">
        <v>61</v>
      </c>
      <c r="NZS134" t="s">
        <v>61</v>
      </c>
      <c r="NZT134" t="s">
        <v>61</v>
      </c>
      <c r="NZU134" t="s">
        <v>61</v>
      </c>
      <c r="NZV134" t="s">
        <v>61</v>
      </c>
      <c r="NZW134" t="s">
        <v>61</v>
      </c>
      <c r="NZX134" t="s">
        <v>61</v>
      </c>
      <c r="NZY134" t="s">
        <v>61</v>
      </c>
      <c r="NZZ134" t="s">
        <v>61</v>
      </c>
      <c r="OAA134" t="s">
        <v>61</v>
      </c>
      <c r="OAB134" t="s">
        <v>61</v>
      </c>
      <c r="OAC134" t="s">
        <v>61</v>
      </c>
      <c r="OAD134" t="s">
        <v>61</v>
      </c>
      <c r="OAE134" t="s">
        <v>61</v>
      </c>
      <c r="OAF134" t="s">
        <v>61</v>
      </c>
      <c r="OAG134" t="s">
        <v>61</v>
      </c>
      <c r="OAH134" t="s">
        <v>61</v>
      </c>
      <c r="OAI134" t="s">
        <v>61</v>
      </c>
      <c r="OAJ134" t="s">
        <v>61</v>
      </c>
      <c r="OAK134" t="s">
        <v>61</v>
      </c>
      <c r="OAL134" t="s">
        <v>61</v>
      </c>
      <c r="OAM134" t="s">
        <v>61</v>
      </c>
      <c r="OAN134" t="s">
        <v>61</v>
      </c>
      <c r="OAO134" t="s">
        <v>61</v>
      </c>
      <c r="OAP134" t="s">
        <v>61</v>
      </c>
      <c r="OAQ134" t="s">
        <v>61</v>
      </c>
      <c r="OAR134" t="s">
        <v>61</v>
      </c>
      <c r="OAS134" t="s">
        <v>61</v>
      </c>
      <c r="OAT134" t="s">
        <v>61</v>
      </c>
      <c r="OAU134" t="s">
        <v>61</v>
      </c>
      <c r="OAV134" t="s">
        <v>61</v>
      </c>
      <c r="OAW134" t="s">
        <v>61</v>
      </c>
      <c r="OAX134" t="s">
        <v>61</v>
      </c>
      <c r="OAY134" t="s">
        <v>61</v>
      </c>
      <c r="OAZ134" t="s">
        <v>61</v>
      </c>
      <c r="OBA134" t="s">
        <v>61</v>
      </c>
      <c r="OBB134" t="s">
        <v>61</v>
      </c>
      <c r="OBC134" t="s">
        <v>61</v>
      </c>
      <c r="OBD134" t="s">
        <v>61</v>
      </c>
      <c r="OBE134" t="s">
        <v>61</v>
      </c>
      <c r="OBF134" t="s">
        <v>61</v>
      </c>
      <c r="OBG134" t="s">
        <v>61</v>
      </c>
      <c r="OBH134" t="s">
        <v>61</v>
      </c>
      <c r="OBI134" t="s">
        <v>61</v>
      </c>
      <c r="OBJ134" t="s">
        <v>61</v>
      </c>
      <c r="OBK134" t="s">
        <v>61</v>
      </c>
      <c r="OBL134" t="s">
        <v>61</v>
      </c>
      <c r="OBM134" t="s">
        <v>61</v>
      </c>
      <c r="OBN134" t="s">
        <v>61</v>
      </c>
      <c r="OBO134" t="s">
        <v>61</v>
      </c>
      <c r="OBP134" t="s">
        <v>61</v>
      </c>
      <c r="OBQ134" t="s">
        <v>61</v>
      </c>
      <c r="OBR134" t="s">
        <v>61</v>
      </c>
      <c r="OBS134" t="s">
        <v>61</v>
      </c>
      <c r="OBT134" t="s">
        <v>61</v>
      </c>
      <c r="OBU134" t="s">
        <v>61</v>
      </c>
      <c r="OBV134" t="s">
        <v>61</v>
      </c>
      <c r="OBW134" t="s">
        <v>61</v>
      </c>
      <c r="OBX134" t="s">
        <v>61</v>
      </c>
      <c r="OBY134" t="s">
        <v>61</v>
      </c>
      <c r="OBZ134" t="s">
        <v>61</v>
      </c>
      <c r="OCA134" t="s">
        <v>61</v>
      </c>
      <c r="OCB134" t="s">
        <v>61</v>
      </c>
      <c r="OCC134" t="s">
        <v>61</v>
      </c>
      <c r="OCD134" t="s">
        <v>61</v>
      </c>
      <c r="OCE134" t="s">
        <v>61</v>
      </c>
      <c r="OCF134" t="s">
        <v>61</v>
      </c>
      <c r="OCG134" t="s">
        <v>61</v>
      </c>
      <c r="OCH134" t="s">
        <v>61</v>
      </c>
      <c r="OCI134" t="s">
        <v>61</v>
      </c>
      <c r="OCJ134" t="s">
        <v>61</v>
      </c>
      <c r="OCK134" t="s">
        <v>61</v>
      </c>
      <c r="OCL134" t="s">
        <v>61</v>
      </c>
      <c r="OCM134" t="s">
        <v>61</v>
      </c>
      <c r="OCN134" t="s">
        <v>61</v>
      </c>
      <c r="OCO134" t="s">
        <v>61</v>
      </c>
      <c r="OCP134" t="s">
        <v>61</v>
      </c>
      <c r="OCQ134" t="s">
        <v>61</v>
      </c>
      <c r="OCR134" t="s">
        <v>61</v>
      </c>
      <c r="OCS134" t="s">
        <v>61</v>
      </c>
      <c r="OCT134" t="s">
        <v>61</v>
      </c>
      <c r="OCU134" t="s">
        <v>61</v>
      </c>
      <c r="OCV134" t="s">
        <v>61</v>
      </c>
      <c r="OCW134" t="s">
        <v>61</v>
      </c>
      <c r="OCX134" t="s">
        <v>61</v>
      </c>
      <c r="OCY134" t="s">
        <v>61</v>
      </c>
      <c r="OCZ134" t="s">
        <v>61</v>
      </c>
      <c r="ODA134" t="s">
        <v>61</v>
      </c>
      <c r="ODB134" t="s">
        <v>61</v>
      </c>
      <c r="ODC134" t="s">
        <v>61</v>
      </c>
      <c r="ODD134" t="s">
        <v>61</v>
      </c>
      <c r="ODE134" t="s">
        <v>61</v>
      </c>
      <c r="ODF134" t="s">
        <v>61</v>
      </c>
      <c r="ODG134" t="s">
        <v>61</v>
      </c>
      <c r="ODH134" t="s">
        <v>61</v>
      </c>
      <c r="ODI134" t="s">
        <v>61</v>
      </c>
      <c r="ODJ134" t="s">
        <v>61</v>
      </c>
      <c r="ODK134" t="s">
        <v>61</v>
      </c>
      <c r="ODL134" t="s">
        <v>61</v>
      </c>
      <c r="ODM134" t="s">
        <v>61</v>
      </c>
      <c r="ODN134" t="s">
        <v>61</v>
      </c>
      <c r="ODO134" t="s">
        <v>61</v>
      </c>
      <c r="ODP134" t="s">
        <v>61</v>
      </c>
      <c r="ODQ134" t="s">
        <v>61</v>
      </c>
      <c r="ODR134" t="s">
        <v>61</v>
      </c>
      <c r="ODS134" t="s">
        <v>61</v>
      </c>
      <c r="ODT134" t="s">
        <v>61</v>
      </c>
      <c r="ODU134" t="s">
        <v>61</v>
      </c>
      <c r="ODV134" t="s">
        <v>61</v>
      </c>
      <c r="ODW134" t="s">
        <v>61</v>
      </c>
      <c r="ODX134" t="s">
        <v>61</v>
      </c>
      <c r="ODY134" t="s">
        <v>61</v>
      </c>
      <c r="ODZ134" t="s">
        <v>61</v>
      </c>
      <c r="OEA134" t="s">
        <v>61</v>
      </c>
      <c r="OEB134" t="s">
        <v>61</v>
      </c>
      <c r="OEC134" t="s">
        <v>61</v>
      </c>
      <c r="OED134" t="s">
        <v>61</v>
      </c>
      <c r="OEE134" t="s">
        <v>61</v>
      </c>
      <c r="OEF134" t="s">
        <v>61</v>
      </c>
      <c r="OEG134" t="s">
        <v>61</v>
      </c>
      <c r="OEH134" t="s">
        <v>61</v>
      </c>
      <c r="OEI134" t="s">
        <v>61</v>
      </c>
      <c r="OEJ134" t="s">
        <v>61</v>
      </c>
      <c r="OEK134" t="s">
        <v>61</v>
      </c>
      <c r="OEL134" t="s">
        <v>61</v>
      </c>
      <c r="OEM134" t="s">
        <v>61</v>
      </c>
      <c r="OEN134" t="s">
        <v>61</v>
      </c>
      <c r="OEO134" t="s">
        <v>61</v>
      </c>
      <c r="OEP134" t="s">
        <v>61</v>
      </c>
      <c r="OEQ134" t="s">
        <v>61</v>
      </c>
      <c r="OER134" t="s">
        <v>61</v>
      </c>
      <c r="OES134" t="s">
        <v>61</v>
      </c>
      <c r="OET134" t="s">
        <v>61</v>
      </c>
      <c r="OEU134" t="s">
        <v>61</v>
      </c>
      <c r="OEV134" t="s">
        <v>61</v>
      </c>
      <c r="OEW134" t="s">
        <v>61</v>
      </c>
      <c r="OEX134" t="s">
        <v>61</v>
      </c>
      <c r="OEY134" t="s">
        <v>61</v>
      </c>
      <c r="OEZ134" t="s">
        <v>61</v>
      </c>
      <c r="OFA134" t="s">
        <v>61</v>
      </c>
      <c r="OFB134" t="s">
        <v>61</v>
      </c>
      <c r="OFC134" t="s">
        <v>61</v>
      </c>
      <c r="OFD134" t="s">
        <v>61</v>
      </c>
      <c r="OFE134" t="s">
        <v>61</v>
      </c>
      <c r="OFF134" t="s">
        <v>61</v>
      </c>
      <c r="OFG134" t="s">
        <v>61</v>
      </c>
      <c r="OFH134" t="s">
        <v>61</v>
      </c>
      <c r="OFI134" t="s">
        <v>61</v>
      </c>
      <c r="OFJ134" t="s">
        <v>61</v>
      </c>
      <c r="OFK134" t="s">
        <v>61</v>
      </c>
      <c r="OFL134" t="s">
        <v>61</v>
      </c>
      <c r="OFM134" t="s">
        <v>61</v>
      </c>
      <c r="OFN134" t="s">
        <v>61</v>
      </c>
      <c r="OFO134" t="s">
        <v>61</v>
      </c>
      <c r="OFP134" t="s">
        <v>61</v>
      </c>
      <c r="OFQ134" t="s">
        <v>61</v>
      </c>
      <c r="OFR134" t="s">
        <v>61</v>
      </c>
      <c r="OFS134" t="s">
        <v>61</v>
      </c>
      <c r="OFT134" t="s">
        <v>61</v>
      </c>
      <c r="OFU134" t="s">
        <v>61</v>
      </c>
      <c r="OFV134" t="s">
        <v>61</v>
      </c>
      <c r="OFW134" t="s">
        <v>61</v>
      </c>
      <c r="OFX134" t="s">
        <v>61</v>
      </c>
      <c r="OFY134" t="s">
        <v>61</v>
      </c>
      <c r="OFZ134" t="s">
        <v>61</v>
      </c>
      <c r="OGA134" t="s">
        <v>61</v>
      </c>
      <c r="OGB134" t="s">
        <v>61</v>
      </c>
      <c r="OGC134" t="s">
        <v>61</v>
      </c>
      <c r="OGD134" t="s">
        <v>61</v>
      </c>
      <c r="OGE134" t="s">
        <v>61</v>
      </c>
      <c r="OGF134" t="s">
        <v>61</v>
      </c>
      <c r="OGG134" t="s">
        <v>61</v>
      </c>
      <c r="OGH134" t="s">
        <v>61</v>
      </c>
      <c r="OGI134" t="s">
        <v>61</v>
      </c>
      <c r="OGJ134" t="s">
        <v>61</v>
      </c>
      <c r="OGK134" t="s">
        <v>61</v>
      </c>
      <c r="OGL134" t="s">
        <v>61</v>
      </c>
      <c r="OGM134" t="s">
        <v>61</v>
      </c>
      <c r="OGN134" t="s">
        <v>61</v>
      </c>
      <c r="OGO134" t="s">
        <v>61</v>
      </c>
      <c r="OGP134" t="s">
        <v>61</v>
      </c>
      <c r="OGQ134" t="s">
        <v>61</v>
      </c>
      <c r="OGR134" t="s">
        <v>61</v>
      </c>
      <c r="OGS134" t="s">
        <v>61</v>
      </c>
      <c r="OGT134" t="s">
        <v>61</v>
      </c>
      <c r="OGU134" t="s">
        <v>61</v>
      </c>
      <c r="OGV134" t="s">
        <v>61</v>
      </c>
      <c r="OGW134" t="s">
        <v>61</v>
      </c>
      <c r="OGX134" t="s">
        <v>61</v>
      </c>
      <c r="OGY134" t="s">
        <v>61</v>
      </c>
      <c r="OGZ134" t="s">
        <v>61</v>
      </c>
      <c r="OHA134" t="s">
        <v>61</v>
      </c>
      <c r="OHB134" t="s">
        <v>61</v>
      </c>
      <c r="OHC134" t="s">
        <v>61</v>
      </c>
      <c r="OHD134" t="s">
        <v>61</v>
      </c>
      <c r="OHE134" t="s">
        <v>61</v>
      </c>
      <c r="OHF134" t="s">
        <v>61</v>
      </c>
      <c r="OHG134" t="s">
        <v>61</v>
      </c>
      <c r="OHH134" t="s">
        <v>61</v>
      </c>
      <c r="OHI134" t="s">
        <v>61</v>
      </c>
      <c r="OHJ134" t="s">
        <v>61</v>
      </c>
      <c r="OHK134" t="s">
        <v>61</v>
      </c>
      <c r="OHL134" t="s">
        <v>61</v>
      </c>
      <c r="OHM134" t="s">
        <v>61</v>
      </c>
      <c r="OHN134" t="s">
        <v>61</v>
      </c>
      <c r="OHO134" t="s">
        <v>61</v>
      </c>
      <c r="OHP134" t="s">
        <v>61</v>
      </c>
      <c r="OHQ134" t="s">
        <v>61</v>
      </c>
      <c r="OHR134" t="s">
        <v>61</v>
      </c>
      <c r="OHS134" t="s">
        <v>61</v>
      </c>
      <c r="OHT134" t="s">
        <v>61</v>
      </c>
      <c r="OHU134" t="s">
        <v>61</v>
      </c>
      <c r="OHV134" t="s">
        <v>61</v>
      </c>
      <c r="OHW134" t="s">
        <v>61</v>
      </c>
      <c r="OHX134" t="s">
        <v>61</v>
      </c>
      <c r="OHY134" t="s">
        <v>61</v>
      </c>
      <c r="OHZ134" t="s">
        <v>61</v>
      </c>
      <c r="OIA134" t="s">
        <v>61</v>
      </c>
      <c r="OIB134" t="s">
        <v>61</v>
      </c>
      <c r="OIC134" t="s">
        <v>61</v>
      </c>
      <c r="OID134" t="s">
        <v>61</v>
      </c>
      <c r="OIE134" t="s">
        <v>61</v>
      </c>
      <c r="OIF134" t="s">
        <v>61</v>
      </c>
      <c r="OIG134" t="s">
        <v>61</v>
      </c>
      <c r="OIH134" t="s">
        <v>61</v>
      </c>
      <c r="OII134" t="s">
        <v>61</v>
      </c>
      <c r="OIJ134" t="s">
        <v>61</v>
      </c>
      <c r="OIK134" t="s">
        <v>61</v>
      </c>
      <c r="OIL134" t="s">
        <v>61</v>
      </c>
      <c r="OIM134" t="s">
        <v>61</v>
      </c>
      <c r="OIN134" t="s">
        <v>61</v>
      </c>
      <c r="OIO134" t="s">
        <v>61</v>
      </c>
      <c r="OIP134" t="s">
        <v>61</v>
      </c>
      <c r="OIQ134" t="s">
        <v>61</v>
      </c>
      <c r="OIR134" t="s">
        <v>61</v>
      </c>
      <c r="OIS134" t="s">
        <v>61</v>
      </c>
      <c r="OIT134" t="s">
        <v>61</v>
      </c>
      <c r="OIU134" t="s">
        <v>61</v>
      </c>
      <c r="OIV134" t="s">
        <v>61</v>
      </c>
      <c r="OIW134" t="s">
        <v>61</v>
      </c>
      <c r="OIX134" t="s">
        <v>61</v>
      </c>
      <c r="OIY134" t="s">
        <v>61</v>
      </c>
      <c r="OIZ134" t="s">
        <v>61</v>
      </c>
      <c r="OJA134" t="s">
        <v>61</v>
      </c>
      <c r="OJB134" t="s">
        <v>61</v>
      </c>
      <c r="OJC134" t="s">
        <v>61</v>
      </c>
      <c r="OJD134" t="s">
        <v>61</v>
      </c>
      <c r="OJE134" t="s">
        <v>61</v>
      </c>
      <c r="OJF134" t="s">
        <v>61</v>
      </c>
      <c r="OJG134" t="s">
        <v>61</v>
      </c>
      <c r="OJH134" t="s">
        <v>61</v>
      </c>
      <c r="OJI134" t="s">
        <v>61</v>
      </c>
      <c r="OJJ134" t="s">
        <v>61</v>
      </c>
      <c r="OJK134" t="s">
        <v>61</v>
      </c>
      <c r="OJL134" t="s">
        <v>61</v>
      </c>
      <c r="OJM134" t="s">
        <v>61</v>
      </c>
      <c r="OJN134" t="s">
        <v>61</v>
      </c>
      <c r="OJO134" t="s">
        <v>61</v>
      </c>
      <c r="OJP134" t="s">
        <v>61</v>
      </c>
      <c r="OJQ134" t="s">
        <v>61</v>
      </c>
      <c r="OJR134" t="s">
        <v>61</v>
      </c>
      <c r="OJS134" t="s">
        <v>61</v>
      </c>
      <c r="OJT134" t="s">
        <v>61</v>
      </c>
      <c r="OJU134" t="s">
        <v>61</v>
      </c>
      <c r="OJV134" t="s">
        <v>61</v>
      </c>
      <c r="OJW134" t="s">
        <v>61</v>
      </c>
      <c r="OJX134" t="s">
        <v>61</v>
      </c>
      <c r="OJY134" t="s">
        <v>61</v>
      </c>
      <c r="OJZ134" t="s">
        <v>61</v>
      </c>
      <c r="OKA134" t="s">
        <v>61</v>
      </c>
      <c r="OKB134" t="s">
        <v>61</v>
      </c>
      <c r="OKC134" t="s">
        <v>61</v>
      </c>
      <c r="OKD134" t="s">
        <v>61</v>
      </c>
      <c r="OKE134" t="s">
        <v>61</v>
      </c>
      <c r="OKF134" t="s">
        <v>61</v>
      </c>
      <c r="OKG134" t="s">
        <v>61</v>
      </c>
      <c r="OKH134" t="s">
        <v>61</v>
      </c>
      <c r="OKI134" t="s">
        <v>61</v>
      </c>
      <c r="OKJ134" t="s">
        <v>61</v>
      </c>
      <c r="OKK134" t="s">
        <v>61</v>
      </c>
      <c r="OKL134" t="s">
        <v>61</v>
      </c>
      <c r="OKM134" t="s">
        <v>61</v>
      </c>
      <c r="OKN134" t="s">
        <v>61</v>
      </c>
      <c r="OKO134" t="s">
        <v>61</v>
      </c>
      <c r="OKP134" t="s">
        <v>61</v>
      </c>
      <c r="OKQ134" t="s">
        <v>61</v>
      </c>
      <c r="OKR134" t="s">
        <v>61</v>
      </c>
      <c r="OKS134" t="s">
        <v>61</v>
      </c>
      <c r="OKT134" t="s">
        <v>61</v>
      </c>
      <c r="OKU134" t="s">
        <v>61</v>
      </c>
      <c r="OKV134" t="s">
        <v>61</v>
      </c>
      <c r="OKW134" t="s">
        <v>61</v>
      </c>
      <c r="OKX134" t="s">
        <v>61</v>
      </c>
      <c r="OKY134" t="s">
        <v>61</v>
      </c>
      <c r="OKZ134" t="s">
        <v>61</v>
      </c>
      <c r="OLA134" t="s">
        <v>61</v>
      </c>
      <c r="OLB134" t="s">
        <v>61</v>
      </c>
      <c r="OLC134" t="s">
        <v>61</v>
      </c>
      <c r="OLD134" t="s">
        <v>61</v>
      </c>
      <c r="OLE134" t="s">
        <v>61</v>
      </c>
      <c r="OLF134" t="s">
        <v>61</v>
      </c>
      <c r="OLG134" t="s">
        <v>61</v>
      </c>
      <c r="OLH134" t="s">
        <v>61</v>
      </c>
      <c r="OLI134" t="s">
        <v>61</v>
      </c>
      <c r="OLJ134" t="s">
        <v>61</v>
      </c>
      <c r="OLK134" t="s">
        <v>61</v>
      </c>
      <c r="OLL134" t="s">
        <v>61</v>
      </c>
      <c r="OLM134" t="s">
        <v>61</v>
      </c>
      <c r="OLN134" t="s">
        <v>61</v>
      </c>
      <c r="OLO134" t="s">
        <v>61</v>
      </c>
      <c r="OLP134" t="s">
        <v>61</v>
      </c>
      <c r="OLQ134" t="s">
        <v>61</v>
      </c>
      <c r="OLR134" t="s">
        <v>61</v>
      </c>
      <c r="OLS134" t="s">
        <v>61</v>
      </c>
      <c r="OLT134" t="s">
        <v>61</v>
      </c>
      <c r="OLU134" t="s">
        <v>61</v>
      </c>
      <c r="OLV134" t="s">
        <v>61</v>
      </c>
      <c r="OLW134" t="s">
        <v>61</v>
      </c>
      <c r="OLX134" t="s">
        <v>61</v>
      </c>
      <c r="OLY134" t="s">
        <v>61</v>
      </c>
      <c r="OLZ134" t="s">
        <v>61</v>
      </c>
      <c r="OMA134" t="s">
        <v>61</v>
      </c>
      <c r="OMB134" t="s">
        <v>61</v>
      </c>
      <c r="OMC134" t="s">
        <v>61</v>
      </c>
      <c r="OMD134" t="s">
        <v>61</v>
      </c>
      <c r="OME134" t="s">
        <v>61</v>
      </c>
      <c r="OMF134" t="s">
        <v>61</v>
      </c>
      <c r="OMG134" t="s">
        <v>61</v>
      </c>
      <c r="OMH134" t="s">
        <v>61</v>
      </c>
      <c r="OMI134" t="s">
        <v>61</v>
      </c>
      <c r="OMJ134" t="s">
        <v>61</v>
      </c>
      <c r="OMK134" t="s">
        <v>61</v>
      </c>
      <c r="OML134" t="s">
        <v>61</v>
      </c>
      <c r="OMM134" t="s">
        <v>61</v>
      </c>
      <c r="OMN134" t="s">
        <v>61</v>
      </c>
      <c r="OMO134" t="s">
        <v>61</v>
      </c>
      <c r="OMP134" t="s">
        <v>61</v>
      </c>
      <c r="OMQ134" t="s">
        <v>61</v>
      </c>
      <c r="OMR134" t="s">
        <v>61</v>
      </c>
      <c r="OMS134" t="s">
        <v>61</v>
      </c>
      <c r="OMT134" t="s">
        <v>61</v>
      </c>
      <c r="OMU134" t="s">
        <v>61</v>
      </c>
      <c r="OMV134" t="s">
        <v>61</v>
      </c>
      <c r="OMW134" t="s">
        <v>61</v>
      </c>
      <c r="OMX134" t="s">
        <v>61</v>
      </c>
      <c r="OMY134" t="s">
        <v>61</v>
      </c>
      <c r="OMZ134" t="s">
        <v>61</v>
      </c>
      <c r="ONA134" t="s">
        <v>61</v>
      </c>
      <c r="ONB134" t="s">
        <v>61</v>
      </c>
      <c r="ONC134" t="s">
        <v>61</v>
      </c>
      <c r="OND134" t="s">
        <v>61</v>
      </c>
      <c r="ONE134" t="s">
        <v>61</v>
      </c>
      <c r="ONF134" t="s">
        <v>61</v>
      </c>
      <c r="ONG134" t="s">
        <v>61</v>
      </c>
      <c r="ONH134" t="s">
        <v>61</v>
      </c>
      <c r="ONI134" t="s">
        <v>61</v>
      </c>
      <c r="ONJ134" t="s">
        <v>61</v>
      </c>
      <c r="ONK134" t="s">
        <v>61</v>
      </c>
      <c r="ONL134" t="s">
        <v>61</v>
      </c>
      <c r="ONM134" t="s">
        <v>61</v>
      </c>
      <c r="ONN134" t="s">
        <v>61</v>
      </c>
      <c r="ONO134" t="s">
        <v>61</v>
      </c>
      <c r="ONP134" t="s">
        <v>61</v>
      </c>
      <c r="ONQ134" t="s">
        <v>61</v>
      </c>
      <c r="ONR134" t="s">
        <v>61</v>
      </c>
      <c r="ONS134" t="s">
        <v>61</v>
      </c>
      <c r="ONT134" t="s">
        <v>61</v>
      </c>
      <c r="ONU134" t="s">
        <v>61</v>
      </c>
      <c r="ONV134" t="s">
        <v>61</v>
      </c>
      <c r="ONW134" t="s">
        <v>61</v>
      </c>
      <c r="ONX134" t="s">
        <v>61</v>
      </c>
      <c r="ONY134" t="s">
        <v>61</v>
      </c>
      <c r="ONZ134" t="s">
        <v>61</v>
      </c>
      <c r="OOA134" t="s">
        <v>61</v>
      </c>
      <c r="OOB134" t="s">
        <v>61</v>
      </c>
      <c r="OOC134" t="s">
        <v>61</v>
      </c>
      <c r="OOD134" t="s">
        <v>61</v>
      </c>
      <c r="OOE134" t="s">
        <v>61</v>
      </c>
      <c r="OOF134" t="s">
        <v>61</v>
      </c>
      <c r="OOG134" t="s">
        <v>61</v>
      </c>
      <c r="OOH134" t="s">
        <v>61</v>
      </c>
      <c r="OOI134" t="s">
        <v>61</v>
      </c>
      <c r="OOJ134" t="s">
        <v>61</v>
      </c>
      <c r="OOK134" t="s">
        <v>61</v>
      </c>
      <c r="OOL134" t="s">
        <v>61</v>
      </c>
      <c r="OOM134" t="s">
        <v>61</v>
      </c>
      <c r="OON134" t="s">
        <v>61</v>
      </c>
      <c r="OOO134" t="s">
        <v>61</v>
      </c>
      <c r="OOP134" t="s">
        <v>61</v>
      </c>
      <c r="OOQ134" t="s">
        <v>61</v>
      </c>
      <c r="OOR134" t="s">
        <v>61</v>
      </c>
      <c r="OOS134" t="s">
        <v>61</v>
      </c>
      <c r="OOT134" t="s">
        <v>61</v>
      </c>
      <c r="OOU134" t="s">
        <v>61</v>
      </c>
      <c r="OOV134" t="s">
        <v>61</v>
      </c>
      <c r="OOW134" t="s">
        <v>61</v>
      </c>
      <c r="OOX134" t="s">
        <v>61</v>
      </c>
      <c r="OOY134" t="s">
        <v>61</v>
      </c>
      <c r="OOZ134" t="s">
        <v>61</v>
      </c>
      <c r="OPA134" t="s">
        <v>61</v>
      </c>
      <c r="OPB134" t="s">
        <v>61</v>
      </c>
      <c r="OPC134" t="s">
        <v>61</v>
      </c>
      <c r="OPD134" t="s">
        <v>61</v>
      </c>
      <c r="OPE134" t="s">
        <v>61</v>
      </c>
      <c r="OPF134" t="s">
        <v>61</v>
      </c>
      <c r="OPG134" t="s">
        <v>61</v>
      </c>
      <c r="OPH134" t="s">
        <v>61</v>
      </c>
      <c r="OPI134" t="s">
        <v>61</v>
      </c>
      <c r="OPJ134" t="s">
        <v>61</v>
      </c>
      <c r="OPK134" t="s">
        <v>61</v>
      </c>
      <c r="OPL134" t="s">
        <v>61</v>
      </c>
      <c r="OPM134" t="s">
        <v>61</v>
      </c>
      <c r="OPN134" t="s">
        <v>61</v>
      </c>
      <c r="OPO134" t="s">
        <v>61</v>
      </c>
      <c r="OPP134" t="s">
        <v>61</v>
      </c>
      <c r="OPQ134" t="s">
        <v>61</v>
      </c>
      <c r="OPR134" t="s">
        <v>61</v>
      </c>
      <c r="OPS134" t="s">
        <v>61</v>
      </c>
      <c r="OPT134" t="s">
        <v>61</v>
      </c>
      <c r="OPU134" t="s">
        <v>61</v>
      </c>
      <c r="OPV134" t="s">
        <v>61</v>
      </c>
      <c r="OPW134" t="s">
        <v>61</v>
      </c>
      <c r="OPX134" t="s">
        <v>61</v>
      </c>
      <c r="OPY134" t="s">
        <v>61</v>
      </c>
      <c r="OPZ134" t="s">
        <v>61</v>
      </c>
      <c r="OQA134" t="s">
        <v>61</v>
      </c>
      <c r="OQB134" t="s">
        <v>61</v>
      </c>
      <c r="OQC134" t="s">
        <v>61</v>
      </c>
      <c r="OQD134" t="s">
        <v>61</v>
      </c>
      <c r="OQE134" t="s">
        <v>61</v>
      </c>
      <c r="OQF134" t="s">
        <v>61</v>
      </c>
      <c r="OQG134" t="s">
        <v>61</v>
      </c>
      <c r="OQH134" t="s">
        <v>61</v>
      </c>
      <c r="OQI134" t="s">
        <v>61</v>
      </c>
      <c r="OQJ134" t="s">
        <v>61</v>
      </c>
      <c r="OQK134" t="s">
        <v>61</v>
      </c>
      <c r="OQL134" t="s">
        <v>61</v>
      </c>
      <c r="OQM134" t="s">
        <v>61</v>
      </c>
      <c r="OQN134" t="s">
        <v>61</v>
      </c>
      <c r="OQO134" t="s">
        <v>61</v>
      </c>
      <c r="OQP134" t="s">
        <v>61</v>
      </c>
      <c r="OQQ134" t="s">
        <v>61</v>
      </c>
      <c r="OQR134" t="s">
        <v>61</v>
      </c>
      <c r="OQS134" t="s">
        <v>61</v>
      </c>
      <c r="OQT134" t="s">
        <v>61</v>
      </c>
      <c r="OQU134" t="s">
        <v>61</v>
      </c>
      <c r="OQV134" t="s">
        <v>61</v>
      </c>
      <c r="OQW134" t="s">
        <v>61</v>
      </c>
      <c r="OQX134" t="s">
        <v>61</v>
      </c>
      <c r="OQY134" t="s">
        <v>61</v>
      </c>
      <c r="OQZ134" t="s">
        <v>61</v>
      </c>
      <c r="ORA134" t="s">
        <v>61</v>
      </c>
      <c r="ORB134" t="s">
        <v>61</v>
      </c>
      <c r="ORC134" t="s">
        <v>61</v>
      </c>
      <c r="ORD134" t="s">
        <v>61</v>
      </c>
      <c r="ORE134" t="s">
        <v>61</v>
      </c>
      <c r="ORF134" t="s">
        <v>61</v>
      </c>
      <c r="ORG134" t="s">
        <v>61</v>
      </c>
      <c r="ORH134" t="s">
        <v>61</v>
      </c>
      <c r="ORI134" t="s">
        <v>61</v>
      </c>
      <c r="ORJ134" t="s">
        <v>61</v>
      </c>
      <c r="ORK134" t="s">
        <v>61</v>
      </c>
      <c r="ORL134" t="s">
        <v>61</v>
      </c>
      <c r="ORM134" t="s">
        <v>61</v>
      </c>
      <c r="ORN134" t="s">
        <v>61</v>
      </c>
      <c r="ORO134" t="s">
        <v>61</v>
      </c>
      <c r="ORP134" t="s">
        <v>61</v>
      </c>
      <c r="ORQ134" t="s">
        <v>61</v>
      </c>
      <c r="ORR134" t="s">
        <v>61</v>
      </c>
      <c r="ORS134" t="s">
        <v>61</v>
      </c>
      <c r="ORT134" t="s">
        <v>61</v>
      </c>
      <c r="ORU134" t="s">
        <v>61</v>
      </c>
      <c r="ORV134" t="s">
        <v>61</v>
      </c>
      <c r="ORW134" t="s">
        <v>61</v>
      </c>
      <c r="ORX134" t="s">
        <v>61</v>
      </c>
      <c r="ORY134" t="s">
        <v>61</v>
      </c>
      <c r="ORZ134" t="s">
        <v>61</v>
      </c>
      <c r="OSA134" t="s">
        <v>61</v>
      </c>
      <c r="OSB134" t="s">
        <v>61</v>
      </c>
      <c r="OSC134" t="s">
        <v>61</v>
      </c>
      <c r="OSD134" t="s">
        <v>61</v>
      </c>
      <c r="OSE134" t="s">
        <v>61</v>
      </c>
      <c r="OSF134" t="s">
        <v>61</v>
      </c>
      <c r="OSG134" t="s">
        <v>61</v>
      </c>
      <c r="OSH134" t="s">
        <v>61</v>
      </c>
      <c r="OSI134" t="s">
        <v>61</v>
      </c>
      <c r="OSJ134" t="s">
        <v>61</v>
      </c>
      <c r="OSK134" t="s">
        <v>61</v>
      </c>
      <c r="OSL134" t="s">
        <v>61</v>
      </c>
      <c r="OSM134" t="s">
        <v>61</v>
      </c>
      <c r="OSN134" t="s">
        <v>61</v>
      </c>
      <c r="OSO134" t="s">
        <v>61</v>
      </c>
      <c r="OSP134" t="s">
        <v>61</v>
      </c>
      <c r="OSQ134" t="s">
        <v>61</v>
      </c>
      <c r="OSR134" t="s">
        <v>61</v>
      </c>
      <c r="OSS134" t="s">
        <v>61</v>
      </c>
      <c r="OST134" t="s">
        <v>61</v>
      </c>
      <c r="OSU134" t="s">
        <v>61</v>
      </c>
      <c r="OSV134" t="s">
        <v>61</v>
      </c>
      <c r="OSW134" t="s">
        <v>61</v>
      </c>
      <c r="OSX134" t="s">
        <v>61</v>
      </c>
      <c r="OSY134" t="s">
        <v>61</v>
      </c>
      <c r="OSZ134" t="s">
        <v>61</v>
      </c>
      <c r="OTA134" t="s">
        <v>61</v>
      </c>
      <c r="OTB134" t="s">
        <v>61</v>
      </c>
      <c r="OTC134" t="s">
        <v>61</v>
      </c>
      <c r="OTD134" t="s">
        <v>61</v>
      </c>
      <c r="OTE134" t="s">
        <v>61</v>
      </c>
      <c r="OTF134" t="s">
        <v>61</v>
      </c>
      <c r="OTG134" t="s">
        <v>61</v>
      </c>
      <c r="OTH134" t="s">
        <v>61</v>
      </c>
      <c r="OTI134" t="s">
        <v>61</v>
      </c>
      <c r="OTJ134" t="s">
        <v>61</v>
      </c>
      <c r="OTK134" t="s">
        <v>61</v>
      </c>
      <c r="OTL134" t="s">
        <v>61</v>
      </c>
      <c r="OTM134" t="s">
        <v>61</v>
      </c>
      <c r="OTN134" t="s">
        <v>61</v>
      </c>
      <c r="OTO134" t="s">
        <v>61</v>
      </c>
      <c r="OTP134" t="s">
        <v>61</v>
      </c>
      <c r="OTQ134" t="s">
        <v>61</v>
      </c>
      <c r="OTR134" t="s">
        <v>61</v>
      </c>
      <c r="OTS134" t="s">
        <v>61</v>
      </c>
      <c r="OTT134" t="s">
        <v>61</v>
      </c>
      <c r="OTU134" t="s">
        <v>61</v>
      </c>
      <c r="OTV134" t="s">
        <v>61</v>
      </c>
      <c r="OTW134" t="s">
        <v>61</v>
      </c>
      <c r="OTX134" t="s">
        <v>61</v>
      </c>
      <c r="OTY134" t="s">
        <v>61</v>
      </c>
      <c r="OTZ134" t="s">
        <v>61</v>
      </c>
      <c r="OUA134" t="s">
        <v>61</v>
      </c>
      <c r="OUB134" t="s">
        <v>61</v>
      </c>
      <c r="OUC134" t="s">
        <v>61</v>
      </c>
      <c r="OUD134" t="s">
        <v>61</v>
      </c>
      <c r="OUE134" t="s">
        <v>61</v>
      </c>
      <c r="OUF134" t="s">
        <v>61</v>
      </c>
      <c r="OUG134" t="s">
        <v>61</v>
      </c>
      <c r="OUH134" t="s">
        <v>61</v>
      </c>
      <c r="OUI134" t="s">
        <v>61</v>
      </c>
      <c r="OUJ134" t="s">
        <v>61</v>
      </c>
      <c r="OUK134" t="s">
        <v>61</v>
      </c>
      <c r="OUL134" t="s">
        <v>61</v>
      </c>
      <c r="OUM134" t="s">
        <v>61</v>
      </c>
      <c r="OUN134" t="s">
        <v>61</v>
      </c>
      <c r="OUO134" t="s">
        <v>61</v>
      </c>
      <c r="OUP134" t="s">
        <v>61</v>
      </c>
      <c r="OUQ134" t="s">
        <v>61</v>
      </c>
      <c r="OUR134" t="s">
        <v>61</v>
      </c>
      <c r="OUS134" t="s">
        <v>61</v>
      </c>
      <c r="OUT134" t="s">
        <v>61</v>
      </c>
      <c r="OUU134" t="s">
        <v>61</v>
      </c>
      <c r="OUV134" t="s">
        <v>61</v>
      </c>
      <c r="OUW134" t="s">
        <v>61</v>
      </c>
      <c r="OUX134" t="s">
        <v>61</v>
      </c>
      <c r="OUY134" t="s">
        <v>61</v>
      </c>
      <c r="OUZ134" t="s">
        <v>61</v>
      </c>
      <c r="OVA134" t="s">
        <v>61</v>
      </c>
      <c r="OVB134" t="s">
        <v>61</v>
      </c>
      <c r="OVC134" t="s">
        <v>61</v>
      </c>
      <c r="OVD134" t="s">
        <v>61</v>
      </c>
      <c r="OVE134" t="s">
        <v>61</v>
      </c>
      <c r="OVF134" t="s">
        <v>61</v>
      </c>
      <c r="OVG134" t="s">
        <v>61</v>
      </c>
      <c r="OVH134" t="s">
        <v>61</v>
      </c>
      <c r="OVI134" t="s">
        <v>61</v>
      </c>
      <c r="OVJ134" t="s">
        <v>61</v>
      </c>
      <c r="OVK134" t="s">
        <v>61</v>
      </c>
      <c r="OVL134" t="s">
        <v>61</v>
      </c>
      <c r="OVM134" t="s">
        <v>61</v>
      </c>
      <c r="OVN134" t="s">
        <v>61</v>
      </c>
      <c r="OVO134" t="s">
        <v>61</v>
      </c>
      <c r="OVP134" t="s">
        <v>61</v>
      </c>
      <c r="OVQ134" t="s">
        <v>61</v>
      </c>
      <c r="OVR134" t="s">
        <v>61</v>
      </c>
      <c r="OVS134" t="s">
        <v>61</v>
      </c>
      <c r="OVT134" t="s">
        <v>61</v>
      </c>
      <c r="OVU134" t="s">
        <v>61</v>
      </c>
      <c r="OVV134" t="s">
        <v>61</v>
      </c>
      <c r="OVW134" t="s">
        <v>61</v>
      </c>
      <c r="OVX134" t="s">
        <v>61</v>
      </c>
      <c r="OVY134" t="s">
        <v>61</v>
      </c>
      <c r="OVZ134" t="s">
        <v>61</v>
      </c>
      <c r="OWA134" t="s">
        <v>61</v>
      </c>
      <c r="OWB134" t="s">
        <v>61</v>
      </c>
      <c r="OWC134" t="s">
        <v>61</v>
      </c>
      <c r="OWD134" t="s">
        <v>61</v>
      </c>
      <c r="OWE134" t="s">
        <v>61</v>
      </c>
      <c r="OWF134" t="s">
        <v>61</v>
      </c>
      <c r="OWG134" t="s">
        <v>61</v>
      </c>
      <c r="OWH134" t="s">
        <v>61</v>
      </c>
      <c r="OWI134" t="s">
        <v>61</v>
      </c>
      <c r="OWJ134" t="s">
        <v>61</v>
      </c>
      <c r="OWK134" t="s">
        <v>61</v>
      </c>
      <c r="OWL134" t="s">
        <v>61</v>
      </c>
      <c r="OWM134" t="s">
        <v>61</v>
      </c>
      <c r="OWN134" t="s">
        <v>61</v>
      </c>
      <c r="OWO134" t="s">
        <v>61</v>
      </c>
      <c r="OWP134" t="s">
        <v>61</v>
      </c>
      <c r="OWQ134" t="s">
        <v>61</v>
      </c>
      <c r="OWR134" t="s">
        <v>61</v>
      </c>
      <c r="OWS134" t="s">
        <v>61</v>
      </c>
      <c r="OWT134" t="s">
        <v>61</v>
      </c>
      <c r="OWU134" t="s">
        <v>61</v>
      </c>
      <c r="OWV134" t="s">
        <v>61</v>
      </c>
      <c r="OWW134" t="s">
        <v>61</v>
      </c>
      <c r="OWX134" t="s">
        <v>61</v>
      </c>
      <c r="OWY134" t="s">
        <v>61</v>
      </c>
      <c r="OWZ134" t="s">
        <v>61</v>
      </c>
      <c r="OXA134" t="s">
        <v>61</v>
      </c>
      <c r="OXB134" t="s">
        <v>61</v>
      </c>
      <c r="OXC134" t="s">
        <v>61</v>
      </c>
      <c r="OXD134" t="s">
        <v>61</v>
      </c>
      <c r="OXE134" t="s">
        <v>61</v>
      </c>
      <c r="OXF134" t="s">
        <v>61</v>
      </c>
      <c r="OXG134" t="s">
        <v>61</v>
      </c>
      <c r="OXH134" t="s">
        <v>61</v>
      </c>
      <c r="OXI134" t="s">
        <v>61</v>
      </c>
      <c r="OXJ134" t="s">
        <v>61</v>
      </c>
      <c r="OXK134" t="s">
        <v>61</v>
      </c>
      <c r="OXL134" t="s">
        <v>61</v>
      </c>
      <c r="OXM134" t="s">
        <v>61</v>
      </c>
      <c r="OXN134" t="s">
        <v>61</v>
      </c>
      <c r="OXO134" t="s">
        <v>61</v>
      </c>
      <c r="OXP134" t="s">
        <v>61</v>
      </c>
      <c r="OXQ134" t="s">
        <v>61</v>
      </c>
      <c r="OXR134" t="s">
        <v>61</v>
      </c>
      <c r="OXS134" t="s">
        <v>61</v>
      </c>
      <c r="OXT134" t="s">
        <v>61</v>
      </c>
      <c r="OXU134" t="s">
        <v>61</v>
      </c>
      <c r="OXV134" t="s">
        <v>61</v>
      </c>
      <c r="OXW134" t="s">
        <v>61</v>
      </c>
      <c r="OXX134" t="s">
        <v>61</v>
      </c>
      <c r="OXY134" t="s">
        <v>61</v>
      </c>
      <c r="OXZ134" t="s">
        <v>61</v>
      </c>
      <c r="OYA134" t="s">
        <v>61</v>
      </c>
      <c r="OYB134" t="s">
        <v>61</v>
      </c>
      <c r="OYC134" t="s">
        <v>61</v>
      </c>
      <c r="OYD134" t="s">
        <v>61</v>
      </c>
      <c r="OYE134" t="s">
        <v>61</v>
      </c>
      <c r="OYF134" t="s">
        <v>61</v>
      </c>
      <c r="OYG134" t="s">
        <v>61</v>
      </c>
      <c r="OYH134" t="s">
        <v>61</v>
      </c>
      <c r="OYI134" t="s">
        <v>61</v>
      </c>
      <c r="OYJ134" t="s">
        <v>61</v>
      </c>
      <c r="OYK134" t="s">
        <v>61</v>
      </c>
      <c r="OYL134" t="s">
        <v>61</v>
      </c>
      <c r="OYM134" t="s">
        <v>61</v>
      </c>
      <c r="OYN134" t="s">
        <v>61</v>
      </c>
      <c r="OYO134" t="s">
        <v>61</v>
      </c>
      <c r="OYP134" t="s">
        <v>61</v>
      </c>
      <c r="OYQ134" t="s">
        <v>61</v>
      </c>
      <c r="OYR134" t="s">
        <v>61</v>
      </c>
      <c r="OYS134" t="s">
        <v>61</v>
      </c>
      <c r="OYT134" t="s">
        <v>61</v>
      </c>
      <c r="OYU134" t="s">
        <v>61</v>
      </c>
      <c r="OYV134" t="s">
        <v>61</v>
      </c>
      <c r="OYW134" t="s">
        <v>61</v>
      </c>
      <c r="OYX134" t="s">
        <v>61</v>
      </c>
      <c r="OYY134" t="s">
        <v>61</v>
      </c>
      <c r="OYZ134" t="s">
        <v>61</v>
      </c>
      <c r="OZA134" t="s">
        <v>61</v>
      </c>
      <c r="OZB134" t="s">
        <v>61</v>
      </c>
      <c r="OZC134" t="s">
        <v>61</v>
      </c>
      <c r="OZD134" t="s">
        <v>61</v>
      </c>
      <c r="OZE134" t="s">
        <v>61</v>
      </c>
      <c r="OZF134" t="s">
        <v>61</v>
      </c>
      <c r="OZG134" t="s">
        <v>61</v>
      </c>
      <c r="OZH134" t="s">
        <v>61</v>
      </c>
      <c r="OZI134" t="s">
        <v>61</v>
      </c>
      <c r="OZJ134" t="s">
        <v>61</v>
      </c>
      <c r="OZK134" t="s">
        <v>61</v>
      </c>
      <c r="OZL134" t="s">
        <v>61</v>
      </c>
      <c r="OZM134" t="s">
        <v>61</v>
      </c>
      <c r="OZN134" t="s">
        <v>61</v>
      </c>
      <c r="OZO134" t="s">
        <v>61</v>
      </c>
      <c r="OZP134" t="s">
        <v>61</v>
      </c>
      <c r="OZQ134" t="s">
        <v>61</v>
      </c>
      <c r="OZR134" t="s">
        <v>61</v>
      </c>
      <c r="OZS134" t="s">
        <v>61</v>
      </c>
      <c r="OZT134" t="s">
        <v>61</v>
      </c>
      <c r="OZU134" t="s">
        <v>61</v>
      </c>
      <c r="OZV134" t="s">
        <v>61</v>
      </c>
      <c r="OZW134" t="s">
        <v>61</v>
      </c>
      <c r="OZX134" t="s">
        <v>61</v>
      </c>
      <c r="OZY134" t="s">
        <v>61</v>
      </c>
      <c r="OZZ134" t="s">
        <v>61</v>
      </c>
      <c r="PAA134" t="s">
        <v>61</v>
      </c>
      <c r="PAB134" t="s">
        <v>61</v>
      </c>
      <c r="PAC134" t="s">
        <v>61</v>
      </c>
      <c r="PAD134" t="s">
        <v>61</v>
      </c>
      <c r="PAE134" t="s">
        <v>61</v>
      </c>
      <c r="PAF134" t="s">
        <v>61</v>
      </c>
      <c r="PAG134" t="s">
        <v>61</v>
      </c>
      <c r="PAH134" t="s">
        <v>61</v>
      </c>
      <c r="PAI134" t="s">
        <v>61</v>
      </c>
      <c r="PAJ134" t="s">
        <v>61</v>
      </c>
      <c r="PAK134" t="s">
        <v>61</v>
      </c>
      <c r="PAL134" t="s">
        <v>61</v>
      </c>
      <c r="PAM134" t="s">
        <v>61</v>
      </c>
      <c r="PAN134" t="s">
        <v>61</v>
      </c>
      <c r="PAO134" t="s">
        <v>61</v>
      </c>
      <c r="PAP134" t="s">
        <v>61</v>
      </c>
      <c r="PAQ134" t="s">
        <v>61</v>
      </c>
      <c r="PAR134" t="s">
        <v>61</v>
      </c>
      <c r="PAS134" t="s">
        <v>61</v>
      </c>
      <c r="PAT134" t="s">
        <v>61</v>
      </c>
      <c r="PAU134" t="s">
        <v>61</v>
      </c>
      <c r="PAV134" t="s">
        <v>61</v>
      </c>
      <c r="PAW134" t="s">
        <v>61</v>
      </c>
      <c r="PAX134" t="s">
        <v>61</v>
      </c>
      <c r="PAY134" t="s">
        <v>61</v>
      </c>
      <c r="PAZ134" t="s">
        <v>61</v>
      </c>
      <c r="PBA134" t="s">
        <v>61</v>
      </c>
      <c r="PBB134" t="s">
        <v>61</v>
      </c>
      <c r="PBC134" t="s">
        <v>61</v>
      </c>
      <c r="PBD134" t="s">
        <v>61</v>
      </c>
      <c r="PBE134" t="s">
        <v>61</v>
      </c>
      <c r="PBF134" t="s">
        <v>61</v>
      </c>
      <c r="PBG134" t="s">
        <v>61</v>
      </c>
      <c r="PBH134" t="s">
        <v>61</v>
      </c>
      <c r="PBI134" t="s">
        <v>61</v>
      </c>
      <c r="PBJ134" t="s">
        <v>61</v>
      </c>
      <c r="PBK134" t="s">
        <v>61</v>
      </c>
      <c r="PBL134" t="s">
        <v>61</v>
      </c>
      <c r="PBM134" t="s">
        <v>61</v>
      </c>
      <c r="PBN134" t="s">
        <v>61</v>
      </c>
      <c r="PBO134" t="s">
        <v>61</v>
      </c>
      <c r="PBP134" t="s">
        <v>61</v>
      </c>
      <c r="PBQ134" t="s">
        <v>61</v>
      </c>
      <c r="PBR134" t="s">
        <v>61</v>
      </c>
      <c r="PBS134" t="s">
        <v>61</v>
      </c>
      <c r="PBT134" t="s">
        <v>61</v>
      </c>
      <c r="PBU134" t="s">
        <v>61</v>
      </c>
      <c r="PBV134" t="s">
        <v>61</v>
      </c>
      <c r="PBW134" t="s">
        <v>61</v>
      </c>
      <c r="PBX134" t="s">
        <v>61</v>
      </c>
      <c r="PBY134" t="s">
        <v>61</v>
      </c>
      <c r="PBZ134" t="s">
        <v>61</v>
      </c>
      <c r="PCA134" t="s">
        <v>61</v>
      </c>
      <c r="PCB134" t="s">
        <v>61</v>
      </c>
      <c r="PCC134" t="s">
        <v>61</v>
      </c>
      <c r="PCD134" t="s">
        <v>61</v>
      </c>
      <c r="PCE134" t="s">
        <v>61</v>
      </c>
      <c r="PCF134" t="s">
        <v>61</v>
      </c>
      <c r="PCG134" t="s">
        <v>61</v>
      </c>
      <c r="PCH134" t="s">
        <v>61</v>
      </c>
      <c r="PCI134" t="s">
        <v>61</v>
      </c>
      <c r="PCJ134" t="s">
        <v>61</v>
      </c>
      <c r="PCK134" t="s">
        <v>61</v>
      </c>
      <c r="PCL134" t="s">
        <v>61</v>
      </c>
      <c r="PCM134" t="s">
        <v>61</v>
      </c>
      <c r="PCN134" t="s">
        <v>61</v>
      </c>
      <c r="PCO134" t="s">
        <v>61</v>
      </c>
      <c r="PCP134" t="s">
        <v>61</v>
      </c>
      <c r="PCQ134" t="s">
        <v>61</v>
      </c>
      <c r="PCR134" t="s">
        <v>61</v>
      </c>
      <c r="PCS134" t="s">
        <v>61</v>
      </c>
      <c r="PCT134" t="s">
        <v>61</v>
      </c>
      <c r="PCU134" t="s">
        <v>61</v>
      </c>
      <c r="PCV134" t="s">
        <v>61</v>
      </c>
      <c r="PCW134" t="s">
        <v>61</v>
      </c>
      <c r="PCX134" t="s">
        <v>61</v>
      </c>
      <c r="PCY134" t="s">
        <v>61</v>
      </c>
      <c r="PCZ134" t="s">
        <v>61</v>
      </c>
      <c r="PDA134" t="s">
        <v>61</v>
      </c>
      <c r="PDB134" t="s">
        <v>61</v>
      </c>
      <c r="PDC134" t="s">
        <v>61</v>
      </c>
      <c r="PDD134" t="s">
        <v>61</v>
      </c>
      <c r="PDE134" t="s">
        <v>61</v>
      </c>
      <c r="PDF134" t="s">
        <v>61</v>
      </c>
      <c r="PDG134" t="s">
        <v>61</v>
      </c>
      <c r="PDH134" t="s">
        <v>61</v>
      </c>
      <c r="PDI134" t="s">
        <v>61</v>
      </c>
      <c r="PDJ134" t="s">
        <v>61</v>
      </c>
      <c r="PDK134" t="s">
        <v>61</v>
      </c>
      <c r="PDL134" t="s">
        <v>61</v>
      </c>
      <c r="PDM134" t="s">
        <v>61</v>
      </c>
      <c r="PDN134" t="s">
        <v>61</v>
      </c>
      <c r="PDO134" t="s">
        <v>61</v>
      </c>
      <c r="PDP134" t="s">
        <v>61</v>
      </c>
      <c r="PDQ134" t="s">
        <v>61</v>
      </c>
      <c r="PDR134" t="s">
        <v>61</v>
      </c>
      <c r="PDS134" t="s">
        <v>61</v>
      </c>
      <c r="PDT134" t="s">
        <v>61</v>
      </c>
      <c r="PDU134" t="s">
        <v>61</v>
      </c>
      <c r="PDV134" t="s">
        <v>61</v>
      </c>
      <c r="PDW134" t="s">
        <v>61</v>
      </c>
      <c r="PDX134" t="s">
        <v>61</v>
      </c>
      <c r="PDY134" t="s">
        <v>61</v>
      </c>
      <c r="PDZ134" t="s">
        <v>61</v>
      </c>
      <c r="PEA134" t="s">
        <v>61</v>
      </c>
      <c r="PEB134" t="s">
        <v>61</v>
      </c>
      <c r="PEC134" t="s">
        <v>61</v>
      </c>
      <c r="PED134" t="s">
        <v>61</v>
      </c>
      <c r="PEE134" t="s">
        <v>61</v>
      </c>
      <c r="PEF134" t="s">
        <v>61</v>
      </c>
      <c r="PEG134" t="s">
        <v>61</v>
      </c>
      <c r="PEH134" t="s">
        <v>61</v>
      </c>
      <c r="PEI134" t="s">
        <v>61</v>
      </c>
      <c r="PEJ134" t="s">
        <v>61</v>
      </c>
      <c r="PEK134" t="s">
        <v>61</v>
      </c>
      <c r="PEL134" t="s">
        <v>61</v>
      </c>
      <c r="PEM134" t="s">
        <v>61</v>
      </c>
      <c r="PEN134" t="s">
        <v>61</v>
      </c>
      <c r="PEO134" t="s">
        <v>61</v>
      </c>
      <c r="PEP134" t="s">
        <v>61</v>
      </c>
      <c r="PEQ134" t="s">
        <v>61</v>
      </c>
      <c r="PER134" t="s">
        <v>61</v>
      </c>
      <c r="PES134" t="s">
        <v>61</v>
      </c>
      <c r="PET134" t="s">
        <v>61</v>
      </c>
      <c r="PEU134" t="s">
        <v>61</v>
      </c>
      <c r="PEV134" t="s">
        <v>61</v>
      </c>
      <c r="PEW134" t="s">
        <v>61</v>
      </c>
      <c r="PEX134" t="s">
        <v>61</v>
      </c>
      <c r="PEY134" t="s">
        <v>61</v>
      </c>
      <c r="PEZ134" t="s">
        <v>61</v>
      </c>
      <c r="PFA134" t="s">
        <v>61</v>
      </c>
      <c r="PFB134" t="s">
        <v>61</v>
      </c>
      <c r="PFC134" t="s">
        <v>61</v>
      </c>
      <c r="PFD134" t="s">
        <v>61</v>
      </c>
      <c r="PFE134" t="s">
        <v>61</v>
      </c>
      <c r="PFF134" t="s">
        <v>61</v>
      </c>
      <c r="PFG134" t="s">
        <v>61</v>
      </c>
      <c r="PFH134" t="s">
        <v>61</v>
      </c>
      <c r="PFI134" t="s">
        <v>61</v>
      </c>
      <c r="PFJ134" t="s">
        <v>61</v>
      </c>
      <c r="PFK134" t="s">
        <v>61</v>
      </c>
      <c r="PFL134" t="s">
        <v>61</v>
      </c>
      <c r="PFM134" t="s">
        <v>61</v>
      </c>
      <c r="PFN134" t="s">
        <v>61</v>
      </c>
      <c r="PFO134" t="s">
        <v>61</v>
      </c>
      <c r="PFP134" t="s">
        <v>61</v>
      </c>
      <c r="PFQ134" t="s">
        <v>61</v>
      </c>
      <c r="PFR134" t="s">
        <v>61</v>
      </c>
      <c r="PFS134" t="s">
        <v>61</v>
      </c>
      <c r="PFT134" t="s">
        <v>61</v>
      </c>
      <c r="PFU134" t="s">
        <v>61</v>
      </c>
      <c r="PFV134" t="s">
        <v>61</v>
      </c>
      <c r="PFW134" t="s">
        <v>61</v>
      </c>
      <c r="PFX134" t="s">
        <v>61</v>
      </c>
      <c r="PFY134" t="s">
        <v>61</v>
      </c>
      <c r="PFZ134" t="s">
        <v>61</v>
      </c>
      <c r="PGA134" t="s">
        <v>61</v>
      </c>
      <c r="PGB134" t="s">
        <v>61</v>
      </c>
      <c r="PGC134" t="s">
        <v>61</v>
      </c>
      <c r="PGD134" t="s">
        <v>61</v>
      </c>
      <c r="PGE134" t="s">
        <v>61</v>
      </c>
      <c r="PGF134" t="s">
        <v>61</v>
      </c>
      <c r="PGG134" t="s">
        <v>61</v>
      </c>
      <c r="PGH134" t="s">
        <v>61</v>
      </c>
      <c r="PGI134" t="s">
        <v>61</v>
      </c>
      <c r="PGJ134" t="s">
        <v>61</v>
      </c>
      <c r="PGK134" t="s">
        <v>61</v>
      </c>
      <c r="PGL134" t="s">
        <v>61</v>
      </c>
      <c r="PGM134" t="s">
        <v>61</v>
      </c>
      <c r="PGN134" t="s">
        <v>61</v>
      </c>
      <c r="PGO134" t="s">
        <v>61</v>
      </c>
      <c r="PGP134" t="s">
        <v>61</v>
      </c>
      <c r="PGQ134" t="s">
        <v>61</v>
      </c>
      <c r="PGR134" t="s">
        <v>61</v>
      </c>
      <c r="PGS134" t="s">
        <v>61</v>
      </c>
      <c r="PGT134" t="s">
        <v>61</v>
      </c>
      <c r="PGU134" t="s">
        <v>61</v>
      </c>
      <c r="PGV134" t="s">
        <v>61</v>
      </c>
      <c r="PGW134" t="s">
        <v>61</v>
      </c>
      <c r="PGX134" t="s">
        <v>61</v>
      </c>
      <c r="PGY134" t="s">
        <v>61</v>
      </c>
      <c r="PGZ134" t="s">
        <v>61</v>
      </c>
      <c r="PHA134" t="s">
        <v>61</v>
      </c>
      <c r="PHB134" t="s">
        <v>61</v>
      </c>
      <c r="PHC134" t="s">
        <v>61</v>
      </c>
      <c r="PHD134" t="s">
        <v>61</v>
      </c>
      <c r="PHE134" t="s">
        <v>61</v>
      </c>
      <c r="PHF134" t="s">
        <v>61</v>
      </c>
      <c r="PHG134" t="s">
        <v>61</v>
      </c>
      <c r="PHH134" t="s">
        <v>61</v>
      </c>
      <c r="PHI134" t="s">
        <v>61</v>
      </c>
      <c r="PHJ134" t="s">
        <v>61</v>
      </c>
      <c r="PHK134" t="s">
        <v>61</v>
      </c>
      <c r="PHL134" t="s">
        <v>61</v>
      </c>
      <c r="PHM134" t="s">
        <v>61</v>
      </c>
      <c r="PHN134" t="s">
        <v>61</v>
      </c>
      <c r="PHO134" t="s">
        <v>61</v>
      </c>
      <c r="PHP134" t="s">
        <v>61</v>
      </c>
      <c r="PHQ134" t="s">
        <v>61</v>
      </c>
      <c r="PHR134" t="s">
        <v>61</v>
      </c>
      <c r="PHS134" t="s">
        <v>61</v>
      </c>
      <c r="PHT134" t="s">
        <v>61</v>
      </c>
      <c r="PHU134" t="s">
        <v>61</v>
      </c>
      <c r="PHV134" t="s">
        <v>61</v>
      </c>
      <c r="PHW134" t="s">
        <v>61</v>
      </c>
      <c r="PHX134" t="s">
        <v>61</v>
      </c>
      <c r="PHY134" t="s">
        <v>61</v>
      </c>
      <c r="PHZ134" t="s">
        <v>61</v>
      </c>
      <c r="PIA134" t="s">
        <v>61</v>
      </c>
      <c r="PIB134" t="s">
        <v>61</v>
      </c>
      <c r="PIC134" t="s">
        <v>61</v>
      </c>
      <c r="PID134" t="s">
        <v>61</v>
      </c>
      <c r="PIE134" t="s">
        <v>61</v>
      </c>
      <c r="PIF134" t="s">
        <v>61</v>
      </c>
      <c r="PIG134" t="s">
        <v>61</v>
      </c>
      <c r="PIH134" t="s">
        <v>61</v>
      </c>
      <c r="PII134" t="s">
        <v>61</v>
      </c>
      <c r="PIJ134" t="s">
        <v>61</v>
      </c>
      <c r="PIK134" t="s">
        <v>61</v>
      </c>
      <c r="PIL134" t="s">
        <v>61</v>
      </c>
      <c r="PIM134" t="s">
        <v>61</v>
      </c>
      <c r="PIN134" t="s">
        <v>61</v>
      </c>
      <c r="PIO134" t="s">
        <v>61</v>
      </c>
      <c r="PIP134" t="s">
        <v>61</v>
      </c>
      <c r="PIQ134" t="s">
        <v>61</v>
      </c>
      <c r="PIR134" t="s">
        <v>61</v>
      </c>
      <c r="PIS134" t="s">
        <v>61</v>
      </c>
      <c r="PIT134" t="s">
        <v>61</v>
      </c>
      <c r="PIU134" t="s">
        <v>61</v>
      </c>
      <c r="PIV134" t="s">
        <v>61</v>
      </c>
      <c r="PIW134" t="s">
        <v>61</v>
      </c>
      <c r="PIX134" t="s">
        <v>61</v>
      </c>
      <c r="PIY134" t="s">
        <v>61</v>
      </c>
      <c r="PIZ134" t="s">
        <v>61</v>
      </c>
      <c r="PJA134" t="s">
        <v>61</v>
      </c>
      <c r="PJB134" t="s">
        <v>61</v>
      </c>
      <c r="PJC134" t="s">
        <v>61</v>
      </c>
      <c r="PJD134" t="s">
        <v>61</v>
      </c>
      <c r="PJE134" t="s">
        <v>61</v>
      </c>
      <c r="PJF134" t="s">
        <v>61</v>
      </c>
      <c r="PJG134" t="s">
        <v>61</v>
      </c>
      <c r="PJH134" t="s">
        <v>61</v>
      </c>
      <c r="PJI134" t="s">
        <v>61</v>
      </c>
      <c r="PJJ134" t="s">
        <v>61</v>
      </c>
      <c r="PJK134" t="s">
        <v>61</v>
      </c>
      <c r="PJL134" t="s">
        <v>61</v>
      </c>
      <c r="PJM134" t="s">
        <v>61</v>
      </c>
      <c r="PJN134" t="s">
        <v>61</v>
      </c>
      <c r="PJO134" t="s">
        <v>61</v>
      </c>
      <c r="PJP134" t="s">
        <v>61</v>
      </c>
      <c r="PJQ134" t="s">
        <v>61</v>
      </c>
      <c r="PJR134" t="s">
        <v>61</v>
      </c>
      <c r="PJS134" t="s">
        <v>61</v>
      </c>
      <c r="PJT134" t="s">
        <v>61</v>
      </c>
      <c r="PJU134" t="s">
        <v>61</v>
      </c>
      <c r="PJV134" t="s">
        <v>61</v>
      </c>
      <c r="PJW134" t="s">
        <v>61</v>
      </c>
      <c r="PJX134" t="s">
        <v>61</v>
      </c>
      <c r="PJY134" t="s">
        <v>61</v>
      </c>
      <c r="PJZ134" t="s">
        <v>61</v>
      </c>
      <c r="PKA134" t="s">
        <v>61</v>
      </c>
      <c r="PKB134" t="s">
        <v>61</v>
      </c>
      <c r="PKC134" t="s">
        <v>61</v>
      </c>
      <c r="PKD134" t="s">
        <v>61</v>
      </c>
      <c r="PKE134" t="s">
        <v>61</v>
      </c>
      <c r="PKF134" t="s">
        <v>61</v>
      </c>
      <c r="PKG134" t="s">
        <v>61</v>
      </c>
      <c r="PKH134" t="s">
        <v>61</v>
      </c>
      <c r="PKI134" t="s">
        <v>61</v>
      </c>
      <c r="PKJ134" t="s">
        <v>61</v>
      </c>
      <c r="PKK134" t="s">
        <v>61</v>
      </c>
      <c r="PKL134" t="s">
        <v>61</v>
      </c>
      <c r="PKM134" t="s">
        <v>61</v>
      </c>
      <c r="PKN134" t="s">
        <v>61</v>
      </c>
      <c r="PKO134" t="s">
        <v>61</v>
      </c>
      <c r="PKP134" t="s">
        <v>61</v>
      </c>
      <c r="PKQ134" t="s">
        <v>61</v>
      </c>
      <c r="PKR134" t="s">
        <v>61</v>
      </c>
      <c r="PKS134" t="s">
        <v>61</v>
      </c>
      <c r="PKT134" t="s">
        <v>61</v>
      </c>
      <c r="PKU134" t="s">
        <v>61</v>
      </c>
      <c r="PKV134" t="s">
        <v>61</v>
      </c>
      <c r="PKW134" t="s">
        <v>61</v>
      </c>
      <c r="PKX134" t="s">
        <v>61</v>
      </c>
      <c r="PKY134" t="s">
        <v>61</v>
      </c>
      <c r="PKZ134" t="s">
        <v>61</v>
      </c>
      <c r="PLA134" t="s">
        <v>61</v>
      </c>
      <c r="PLB134" t="s">
        <v>61</v>
      </c>
      <c r="PLC134" t="s">
        <v>61</v>
      </c>
      <c r="PLD134" t="s">
        <v>61</v>
      </c>
      <c r="PLE134" t="s">
        <v>61</v>
      </c>
      <c r="PLF134" t="s">
        <v>61</v>
      </c>
      <c r="PLG134" t="s">
        <v>61</v>
      </c>
      <c r="PLH134" t="s">
        <v>61</v>
      </c>
      <c r="PLI134" t="s">
        <v>61</v>
      </c>
      <c r="PLJ134" t="s">
        <v>61</v>
      </c>
      <c r="PLK134" t="s">
        <v>61</v>
      </c>
      <c r="PLL134" t="s">
        <v>61</v>
      </c>
      <c r="PLM134" t="s">
        <v>61</v>
      </c>
      <c r="PLN134" t="s">
        <v>61</v>
      </c>
      <c r="PLO134" t="s">
        <v>61</v>
      </c>
      <c r="PLP134" t="s">
        <v>61</v>
      </c>
      <c r="PLQ134" t="s">
        <v>61</v>
      </c>
      <c r="PLR134" t="s">
        <v>61</v>
      </c>
      <c r="PLS134" t="s">
        <v>61</v>
      </c>
      <c r="PLT134" t="s">
        <v>61</v>
      </c>
      <c r="PLU134" t="s">
        <v>61</v>
      </c>
      <c r="PLV134" t="s">
        <v>61</v>
      </c>
      <c r="PLW134" t="s">
        <v>61</v>
      </c>
      <c r="PLX134" t="s">
        <v>61</v>
      </c>
      <c r="PLY134" t="s">
        <v>61</v>
      </c>
      <c r="PLZ134" t="s">
        <v>61</v>
      </c>
      <c r="PMA134" t="s">
        <v>61</v>
      </c>
      <c r="PMB134" t="s">
        <v>61</v>
      </c>
      <c r="PMC134" t="s">
        <v>61</v>
      </c>
      <c r="PMD134" t="s">
        <v>61</v>
      </c>
      <c r="PME134" t="s">
        <v>61</v>
      </c>
      <c r="PMF134" t="s">
        <v>61</v>
      </c>
      <c r="PMG134" t="s">
        <v>61</v>
      </c>
      <c r="PMH134" t="s">
        <v>61</v>
      </c>
      <c r="PMI134" t="s">
        <v>61</v>
      </c>
      <c r="PMJ134" t="s">
        <v>61</v>
      </c>
      <c r="PMK134" t="s">
        <v>61</v>
      </c>
      <c r="PML134" t="s">
        <v>61</v>
      </c>
      <c r="PMM134" t="s">
        <v>61</v>
      </c>
      <c r="PMN134" t="s">
        <v>61</v>
      </c>
      <c r="PMO134" t="s">
        <v>61</v>
      </c>
      <c r="PMP134" t="s">
        <v>61</v>
      </c>
      <c r="PMQ134" t="s">
        <v>61</v>
      </c>
      <c r="PMR134" t="s">
        <v>61</v>
      </c>
      <c r="PMS134" t="s">
        <v>61</v>
      </c>
      <c r="PMT134" t="s">
        <v>61</v>
      </c>
      <c r="PMU134" t="s">
        <v>61</v>
      </c>
      <c r="PMV134" t="s">
        <v>61</v>
      </c>
      <c r="PMW134" t="s">
        <v>61</v>
      </c>
      <c r="PMX134" t="s">
        <v>61</v>
      </c>
      <c r="PMY134" t="s">
        <v>61</v>
      </c>
      <c r="PMZ134" t="s">
        <v>61</v>
      </c>
      <c r="PNA134" t="s">
        <v>61</v>
      </c>
      <c r="PNB134" t="s">
        <v>61</v>
      </c>
      <c r="PNC134" t="s">
        <v>61</v>
      </c>
      <c r="PND134" t="s">
        <v>61</v>
      </c>
      <c r="PNE134" t="s">
        <v>61</v>
      </c>
      <c r="PNF134" t="s">
        <v>61</v>
      </c>
      <c r="PNG134" t="s">
        <v>61</v>
      </c>
      <c r="PNH134" t="s">
        <v>61</v>
      </c>
      <c r="PNI134" t="s">
        <v>61</v>
      </c>
      <c r="PNJ134" t="s">
        <v>61</v>
      </c>
      <c r="PNK134" t="s">
        <v>61</v>
      </c>
      <c r="PNL134" t="s">
        <v>61</v>
      </c>
      <c r="PNM134" t="s">
        <v>61</v>
      </c>
      <c r="PNN134" t="s">
        <v>61</v>
      </c>
      <c r="PNO134" t="s">
        <v>61</v>
      </c>
      <c r="PNP134" t="s">
        <v>61</v>
      </c>
      <c r="PNQ134" t="s">
        <v>61</v>
      </c>
      <c r="PNR134" t="s">
        <v>61</v>
      </c>
      <c r="PNS134" t="s">
        <v>61</v>
      </c>
      <c r="PNT134" t="s">
        <v>61</v>
      </c>
      <c r="PNU134" t="s">
        <v>61</v>
      </c>
      <c r="PNV134" t="s">
        <v>61</v>
      </c>
      <c r="PNW134" t="s">
        <v>61</v>
      </c>
      <c r="PNX134" t="s">
        <v>61</v>
      </c>
      <c r="PNY134" t="s">
        <v>61</v>
      </c>
      <c r="PNZ134" t="s">
        <v>61</v>
      </c>
      <c r="POA134" t="s">
        <v>61</v>
      </c>
      <c r="POB134" t="s">
        <v>61</v>
      </c>
      <c r="POC134" t="s">
        <v>61</v>
      </c>
      <c r="POD134" t="s">
        <v>61</v>
      </c>
      <c r="POE134" t="s">
        <v>61</v>
      </c>
      <c r="POF134" t="s">
        <v>61</v>
      </c>
      <c r="POG134" t="s">
        <v>61</v>
      </c>
      <c r="POH134" t="s">
        <v>61</v>
      </c>
      <c r="POI134" t="s">
        <v>61</v>
      </c>
      <c r="POJ134" t="s">
        <v>61</v>
      </c>
      <c r="POK134" t="s">
        <v>61</v>
      </c>
      <c r="POL134" t="s">
        <v>61</v>
      </c>
      <c r="POM134" t="s">
        <v>61</v>
      </c>
      <c r="PON134" t="s">
        <v>61</v>
      </c>
      <c r="POO134" t="s">
        <v>61</v>
      </c>
      <c r="POP134" t="s">
        <v>61</v>
      </c>
      <c r="POQ134" t="s">
        <v>61</v>
      </c>
      <c r="POR134" t="s">
        <v>61</v>
      </c>
      <c r="POS134" t="s">
        <v>61</v>
      </c>
      <c r="POT134" t="s">
        <v>61</v>
      </c>
      <c r="POU134" t="s">
        <v>61</v>
      </c>
      <c r="POV134" t="s">
        <v>61</v>
      </c>
      <c r="POW134" t="s">
        <v>61</v>
      </c>
      <c r="POX134" t="s">
        <v>61</v>
      </c>
      <c r="POY134" t="s">
        <v>61</v>
      </c>
      <c r="POZ134" t="s">
        <v>61</v>
      </c>
      <c r="PPA134" t="s">
        <v>61</v>
      </c>
      <c r="PPB134" t="s">
        <v>61</v>
      </c>
      <c r="PPC134" t="s">
        <v>61</v>
      </c>
      <c r="PPD134" t="s">
        <v>61</v>
      </c>
      <c r="PPE134" t="s">
        <v>61</v>
      </c>
      <c r="PPF134" t="s">
        <v>61</v>
      </c>
      <c r="PPG134" t="s">
        <v>61</v>
      </c>
      <c r="PPH134" t="s">
        <v>61</v>
      </c>
      <c r="PPI134" t="s">
        <v>61</v>
      </c>
      <c r="PPJ134" t="s">
        <v>61</v>
      </c>
      <c r="PPK134" t="s">
        <v>61</v>
      </c>
      <c r="PPL134" t="s">
        <v>61</v>
      </c>
      <c r="PPM134" t="s">
        <v>61</v>
      </c>
      <c r="PPN134" t="s">
        <v>61</v>
      </c>
      <c r="PPO134" t="s">
        <v>61</v>
      </c>
      <c r="PPP134" t="s">
        <v>61</v>
      </c>
      <c r="PPQ134" t="s">
        <v>61</v>
      </c>
      <c r="PPR134" t="s">
        <v>61</v>
      </c>
      <c r="PPS134" t="s">
        <v>61</v>
      </c>
      <c r="PPT134" t="s">
        <v>61</v>
      </c>
      <c r="PPU134" t="s">
        <v>61</v>
      </c>
      <c r="PPV134" t="s">
        <v>61</v>
      </c>
      <c r="PPW134" t="s">
        <v>61</v>
      </c>
      <c r="PPX134" t="s">
        <v>61</v>
      </c>
      <c r="PPY134" t="s">
        <v>61</v>
      </c>
      <c r="PPZ134" t="s">
        <v>61</v>
      </c>
      <c r="PQA134" t="s">
        <v>61</v>
      </c>
      <c r="PQB134" t="s">
        <v>61</v>
      </c>
      <c r="PQC134" t="s">
        <v>61</v>
      </c>
      <c r="PQD134" t="s">
        <v>61</v>
      </c>
      <c r="PQE134" t="s">
        <v>61</v>
      </c>
      <c r="PQF134" t="s">
        <v>61</v>
      </c>
      <c r="PQG134" t="s">
        <v>61</v>
      </c>
      <c r="PQH134" t="s">
        <v>61</v>
      </c>
      <c r="PQI134" t="s">
        <v>61</v>
      </c>
      <c r="PQJ134" t="s">
        <v>61</v>
      </c>
      <c r="PQK134" t="s">
        <v>61</v>
      </c>
      <c r="PQL134" t="s">
        <v>61</v>
      </c>
      <c r="PQM134" t="s">
        <v>61</v>
      </c>
      <c r="PQN134" t="s">
        <v>61</v>
      </c>
      <c r="PQO134" t="s">
        <v>61</v>
      </c>
      <c r="PQP134" t="s">
        <v>61</v>
      </c>
      <c r="PQQ134" t="s">
        <v>61</v>
      </c>
      <c r="PQR134" t="s">
        <v>61</v>
      </c>
      <c r="PQS134" t="s">
        <v>61</v>
      </c>
      <c r="PQT134" t="s">
        <v>61</v>
      </c>
      <c r="PQU134" t="s">
        <v>61</v>
      </c>
      <c r="PQV134" t="s">
        <v>61</v>
      </c>
      <c r="PQW134" t="s">
        <v>61</v>
      </c>
      <c r="PQX134" t="s">
        <v>61</v>
      </c>
      <c r="PQY134" t="s">
        <v>61</v>
      </c>
      <c r="PQZ134" t="s">
        <v>61</v>
      </c>
      <c r="PRA134" t="s">
        <v>61</v>
      </c>
      <c r="PRB134" t="s">
        <v>61</v>
      </c>
      <c r="PRC134" t="s">
        <v>61</v>
      </c>
      <c r="PRD134" t="s">
        <v>61</v>
      </c>
      <c r="PRE134" t="s">
        <v>61</v>
      </c>
      <c r="PRF134" t="s">
        <v>61</v>
      </c>
      <c r="PRG134" t="s">
        <v>61</v>
      </c>
      <c r="PRH134" t="s">
        <v>61</v>
      </c>
      <c r="PRI134" t="s">
        <v>61</v>
      </c>
      <c r="PRJ134" t="s">
        <v>61</v>
      </c>
      <c r="PRK134" t="s">
        <v>61</v>
      </c>
      <c r="PRL134" t="s">
        <v>61</v>
      </c>
      <c r="PRM134" t="s">
        <v>61</v>
      </c>
      <c r="PRN134" t="s">
        <v>61</v>
      </c>
      <c r="PRO134" t="s">
        <v>61</v>
      </c>
      <c r="PRP134" t="s">
        <v>61</v>
      </c>
      <c r="PRQ134" t="s">
        <v>61</v>
      </c>
      <c r="PRR134" t="s">
        <v>61</v>
      </c>
      <c r="PRS134" t="s">
        <v>61</v>
      </c>
      <c r="PRT134" t="s">
        <v>61</v>
      </c>
      <c r="PRU134" t="s">
        <v>61</v>
      </c>
      <c r="PRV134" t="s">
        <v>61</v>
      </c>
      <c r="PRW134" t="s">
        <v>61</v>
      </c>
      <c r="PRX134" t="s">
        <v>61</v>
      </c>
      <c r="PRY134" t="s">
        <v>61</v>
      </c>
      <c r="PRZ134" t="s">
        <v>61</v>
      </c>
      <c r="PSA134" t="s">
        <v>61</v>
      </c>
      <c r="PSB134" t="s">
        <v>61</v>
      </c>
      <c r="PSC134" t="s">
        <v>61</v>
      </c>
      <c r="PSD134" t="s">
        <v>61</v>
      </c>
      <c r="PSE134" t="s">
        <v>61</v>
      </c>
      <c r="PSF134" t="s">
        <v>61</v>
      </c>
      <c r="PSG134" t="s">
        <v>61</v>
      </c>
      <c r="PSH134" t="s">
        <v>61</v>
      </c>
      <c r="PSI134" t="s">
        <v>61</v>
      </c>
      <c r="PSJ134" t="s">
        <v>61</v>
      </c>
      <c r="PSK134" t="s">
        <v>61</v>
      </c>
      <c r="PSL134" t="s">
        <v>61</v>
      </c>
      <c r="PSM134" t="s">
        <v>61</v>
      </c>
      <c r="PSN134" t="s">
        <v>61</v>
      </c>
      <c r="PSO134" t="s">
        <v>61</v>
      </c>
      <c r="PSP134" t="s">
        <v>61</v>
      </c>
      <c r="PSQ134" t="s">
        <v>61</v>
      </c>
      <c r="PSR134" t="s">
        <v>61</v>
      </c>
      <c r="PSS134" t="s">
        <v>61</v>
      </c>
      <c r="PST134" t="s">
        <v>61</v>
      </c>
      <c r="PSU134" t="s">
        <v>61</v>
      </c>
      <c r="PSV134" t="s">
        <v>61</v>
      </c>
      <c r="PSW134" t="s">
        <v>61</v>
      </c>
      <c r="PSX134" t="s">
        <v>61</v>
      </c>
      <c r="PSY134" t="s">
        <v>61</v>
      </c>
      <c r="PSZ134" t="s">
        <v>61</v>
      </c>
      <c r="PTA134" t="s">
        <v>61</v>
      </c>
      <c r="PTB134" t="s">
        <v>61</v>
      </c>
      <c r="PTC134" t="s">
        <v>61</v>
      </c>
      <c r="PTD134" t="s">
        <v>61</v>
      </c>
      <c r="PTE134" t="s">
        <v>61</v>
      </c>
      <c r="PTF134" t="s">
        <v>61</v>
      </c>
      <c r="PTG134" t="s">
        <v>61</v>
      </c>
      <c r="PTH134" t="s">
        <v>61</v>
      </c>
      <c r="PTI134" t="s">
        <v>61</v>
      </c>
      <c r="PTJ134" t="s">
        <v>61</v>
      </c>
      <c r="PTK134" t="s">
        <v>61</v>
      </c>
      <c r="PTL134" t="s">
        <v>61</v>
      </c>
      <c r="PTM134" t="s">
        <v>61</v>
      </c>
      <c r="PTN134" t="s">
        <v>61</v>
      </c>
      <c r="PTO134" t="s">
        <v>61</v>
      </c>
      <c r="PTP134" t="s">
        <v>61</v>
      </c>
      <c r="PTQ134" t="s">
        <v>61</v>
      </c>
      <c r="PTR134" t="s">
        <v>61</v>
      </c>
      <c r="PTS134" t="s">
        <v>61</v>
      </c>
      <c r="PTT134" t="s">
        <v>61</v>
      </c>
      <c r="PTU134" t="s">
        <v>61</v>
      </c>
      <c r="PTV134" t="s">
        <v>61</v>
      </c>
      <c r="PTW134" t="s">
        <v>61</v>
      </c>
      <c r="PTX134" t="s">
        <v>61</v>
      </c>
      <c r="PTY134" t="s">
        <v>61</v>
      </c>
      <c r="PTZ134" t="s">
        <v>61</v>
      </c>
      <c r="PUA134" t="s">
        <v>61</v>
      </c>
      <c r="PUB134" t="s">
        <v>61</v>
      </c>
      <c r="PUC134" t="s">
        <v>61</v>
      </c>
      <c r="PUD134" t="s">
        <v>61</v>
      </c>
      <c r="PUE134" t="s">
        <v>61</v>
      </c>
      <c r="PUF134" t="s">
        <v>61</v>
      </c>
      <c r="PUG134" t="s">
        <v>61</v>
      </c>
      <c r="PUH134" t="s">
        <v>61</v>
      </c>
      <c r="PUI134" t="s">
        <v>61</v>
      </c>
      <c r="PUJ134" t="s">
        <v>61</v>
      </c>
      <c r="PUK134" t="s">
        <v>61</v>
      </c>
      <c r="PUL134" t="s">
        <v>61</v>
      </c>
      <c r="PUM134" t="s">
        <v>61</v>
      </c>
      <c r="PUN134" t="s">
        <v>61</v>
      </c>
      <c r="PUO134" t="s">
        <v>61</v>
      </c>
      <c r="PUP134" t="s">
        <v>61</v>
      </c>
      <c r="PUQ134" t="s">
        <v>61</v>
      </c>
      <c r="PUR134" t="s">
        <v>61</v>
      </c>
      <c r="PUS134" t="s">
        <v>61</v>
      </c>
      <c r="PUT134" t="s">
        <v>61</v>
      </c>
      <c r="PUU134" t="s">
        <v>61</v>
      </c>
      <c r="PUV134" t="s">
        <v>61</v>
      </c>
      <c r="PUW134" t="s">
        <v>61</v>
      </c>
      <c r="PUX134" t="s">
        <v>61</v>
      </c>
      <c r="PUY134" t="s">
        <v>61</v>
      </c>
      <c r="PUZ134" t="s">
        <v>61</v>
      </c>
      <c r="PVA134" t="s">
        <v>61</v>
      </c>
      <c r="PVB134" t="s">
        <v>61</v>
      </c>
      <c r="PVC134" t="s">
        <v>61</v>
      </c>
      <c r="PVD134" t="s">
        <v>61</v>
      </c>
      <c r="PVE134" t="s">
        <v>61</v>
      </c>
      <c r="PVF134" t="s">
        <v>61</v>
      </c>
      <c r="PVG134" t="s">
        <v>61</v>
      </c>
      <c r="PVH134" t="s">
        <v>61</v>
      </c>
      <c r="PVI134" t="s">
        <v>61</v>
      </c>
      <c r="PVJ134" t="s">
        <v>61</v>
      </c>
      <c r="PVK134" t="s">
        <v>61</v>
      </c>
      <c r="PVL134" t="s">
        <v>61</v>
      </c>
      <c r="PVM134" t="s">
        <v>61</v>
      </c>
      <c r="PVN134" t="s">
        <v>61</v>
      </c>
      <c r="PVO134" t="s">
        <v>61</v>
      </c>
      <c r="PVP134" t="s">
        <v>61</v>
      </c>
      <c r="PVQ134" t="s">
        <v>61</v>
      </c>
      <c r="PVR134" t="s">
        <v>61</v>
      </c>
      <c r="PVS134" t="s">
        <v>61</v>
      </c>
      <c r="PVT134" t="s">
        <v>61</v>
      </c>
      <c r="PVU134" t="s">
        <v>61</v>
      </c>
      <c r="PVV134" t="s">
        <v>61</v>
      </c>
      <c r="PVW134" t="s">
        <v>61</v>
      </c>
      <c r="PVX134" t="s">
        <v>61</v>
      </c>
      <c r="PVY134" t="s">
        <v>61</v>
      </c>
      <c r="PVZ134" t="s">
        <v>61</v>
      </c>
      <c r="PWA134" t="s">
        <v>61</v>
      </c>
      <c r="PWB134" t="s">
        <v>61</v>
      </c>
      <c r="PWC134" t="s">
        <v>61</v>
      </c>
      <c r="PWD134" t="s">
        <v>61</v>
      </c>
      <c r="PWE134" t="s">
        <v>61</v>
      </c>
      <c r="PWF134" t="s">
        <v>61</v>
      </c>
      <c r="PWG134" t="s">
        <v>61</v>
      </c>
      <c r="PWH134" t="s">
        <v>61</v>
      </c>
      <c r="PWI134" t="s">
        <v>61</v>
      </c>
      <c r="PWJ134" t="s">
        <v>61</v>
      </c>
      <c r="PWK134" t="s">
        <v>61</v>
      </c>
      <c r="PWL134" t="s">
        <v>61</v>
      </c>
      <c r="PWM134" t="s">
        <v>61</v>
      </c>
      <c r="PWN134" t="s">
        <v>61</v>
      </c>
      <c r="PWO134" t="s">
        <v>61</v>
      </c>
      <c r="PWP134" t="s">
        <v>61</v>
      </c>
      <c r="PWQ134" t="s">
        <v>61</v>
      </c>
      <c r="PWR134" t="s">
        <v>61</v>
      </c>
      <c r="PWS134" t="s">
        <v>61</v>
      </c>
      <c r="PWT134" t="s">
        <v>61</v>
      </c>
      <c r="PWU134" t="s">
        <v>61</v>
      </c>
      <c r="PWV134" t="s">
        <v>61</v>
      </c>
      <c r="PWW134" t="s">
        <v>61</v>
      </c>
      <c r="PWX134" t="s">
        <v>61</v>
      </c>
      <c r="PWY134" t="s">
        <v>61</v>
      </c>
      <c r="PWZ134" t="s">
        <v>61</v>
      </c>
      <c r="PXA134" t="s">
        <v>61</v>
      </c>
      <c r="PXB134" t="s">
        <v>61</v>
      </c>
      <c r="PXC134" t="s">
        <v>61</v>
      </c>
      <c r="PXD134" t="s">
        <v>61</v>
      </c>
      <c r="PXE134" t="s">
        <v>61</v>
      </c>
      <c r="PXF134" t="s">
        <v>61</v>
      </c>
      <c r="PXG134" t="s">
        <v>61</v>
      </c>
      <c r="PXH134" t="s">
        <v>61</v>
      </c>
      <c r="PXI134" t="s">
        <v>61</v>
      </c>
      <c r="PXJ134" t="s">
        <v>61</v>
      </c>
      <c r="PXK134" t="s">
        <v>61</v>
      </c>
      <c r="PXL134" t="s">
        <v>61</v>
      </c>
      <c r="PXM134" t="s">
        <v>61</v>
      </c>
      <c r="PXN134" t="s">
        <v>61</v>
      </c>
      <c r="PXO134" t="s">
        <v>61</v>
      </c>
      <c r="PXP134" t="s">
        <v>61</v>
      </c>
      <c r="PXQ134" t="s">
        <v>61</v>
      </c>
      <c r="PXR134" t="s">
        <v>61</v>
      </c>
      <c r="PXS134" t="s">
        <v>61</v>
      </c>
      <c r="PXT134" t="s">
        <v>61</v>
      </c>
      <c r="PXU134" t="s">
        <v>61</v>
      </c>
      <c r="PXV134" t="s">
        <v>61</v>
      </c>
      <c r="PXW134" t="s">
        <v>61</v>
      </c>
      <c r="PXX134" t="s">
        <v>61</v>
      </c>
      <c r="PXY134" t="s">
        <v>61</v>
      </c>
      <c r="PXZ134" t="s">
        <v>61</v>
      </c>
      <c r="PYA134" t="s">
        <v>61</v>
      </c>
      <c r="PYB134" t="s">
        <v>61</v>
      </c>
      <c r="PYC134" t="s">
        <v>61</v>
      </c>
      <c r="PYD134" t="s">
        <v>61</v>
      </c>
      <c r="PYE134" t="s">
        <v>61</v>
      </c>
      <c r="PYF134" t="s">
        <v>61</v>
      </c>
      <c r="PYG134" t="s">
        <v>61</v>
      </c>
      <c r="PYH134" t="s">
        <v>61</v>
      </c>
      <c r="PYI134" t="s">
        <v>61</v>
      </c>
      <c r="PYJ134" t="s">
        <v>61</v>
      </c>
      <c r="PYK134" t="s">
        <v>61</v>
      </c>
      <c r="PYL134" t="s">
        <v>61</v>
      </c>
      <c r="PYM134" t="s">
        <v>61</v>
      </c>
      <c r="PYN134" t="s">
        <v>61</v>
      </c>
      <c r="PYO134" t="s">
        <v>61</v>
      </c>
      <c r="PYP134" t="s">
        <v>61</v>
      </c>
      <c r="PYQ134" t="s">
        <v>61</v>
      </c>
      <c r="PYR134" t="s">
        <v>61</v>
      </c>
      <c r="PYS134" t="s">
        <v>61</v>
      </c>
      <c r="PYT134" t="s">
        <v>61</v>
      </c>
      <c r="PYU134" t="s">
        <v>61</v>
      </c>
      <c r="PYV134" t="s">
        <v>61</v>
      </c>
      <c r="PYW134" t="s">
        <v>61</v>
      </c>
      <c r="PYX134" t="s">
        <v>61</v>
      </c>
      <c r="PYY134" t="s">
        <v>61</v>
      </c>
      <c r="PYZ134" t="s">
        <v>61</v>
      </c>
      <c r="PZA134" t="s">
        <v>61</v>
      </c>
      <c r="PZB134" t="s">
        <v>61</v>
      </c>
      <c r="PZC134" t="s">
        <v>61</v>
      </c>
      <c r="PZD134" t="s">
        <v>61</v>
      </c>
      <c r="PZE134" t="s">
        <v>61</v>
      </c>
      <c r="PZF134" t="s">
        <v>61</v>
      </c>
      <c r="PZG134" t="s">
        <v>61</v>
      </c>
      <c r="PZH134" t="s">
        <v>61</v>
      </c>
      <c r="PZI134" t="s">
        <v>61</v>
      </c>
      <c r="PZJ134" t="s">
        <v>61</v>
      </c>
      <c r="PZK134" t="s">
        <v>61</v>
      </c>
      <c r="PZL134" t="s">
        <v>61</v>
      </c>
      <c r="PZM134" t="s">
        <v>61</v>
      </c>
      <c r="PZN134" t="s">
        <v>61</v>
      </c>
      <c r="PZO134" t="s">
        <v>61</v>
      </c>
      <c r="PZP134" t="s">
        <v>61</v>
      </c>
      <c r="PZQ134" t="s">
        <v>61</v>
      </c>
      <c r="PZR134" t="s">
        <v>61</v>
      </c>
      <c r="PZS134" t="s">
        <v>61</v>
      </c>
      <c r="PZT134" t="s">
        <v>61</v>
      </c>
      <c r="PZU134" t="s">
        <v>61</v>
      </c>
      <c r="PZV134" t="s">
        <v>61</v>
      </c>
      <c r="PZW134" t="s">
        <v>61</v>
      </c>
      <c r="PZX134" t="s">
        <v>61</v>
      </c>
      <c r="PZY134" t="s">
        <v>61</v>
      </c>
      <c r="PZZ134" t="s">
        <v>61</v>
      </c>
      <c r="QAA134" t="s">
        <v>61</v>
      </c>
      <c r="QAB134" t="s">
        <v>61</v>
      </c>
      <c r="QAC134" t="s">
        <v>61</v>
      </c>
      <c r="QAD134" t="s">
        <v>61</v>
      </c>
      <c r="QAE134" t="s">
        <v>61</v>
      </c>
      <c r="QAF134" t="s">
        <v>61</v>
      </c>
      <c r="QAG134" t="s">
        <v>61</v>
      </c>
      <c r="QAH134" t="s">
        <v>61</v>
      </c>
      <c r="QAI134" t="s">
        <v>61</v>
      </c>
      <c r="QAJ134" t="s">
        <v>61</v>
      </c>
      <c r="QAK134" t="s">
        <v>61</v>
      </c>
      <c r="QAL134" t="s">
        <v>61</v>
      </c>
      <c r="QAM134" t="s">
        <v>61</v>
      </c>
      <c r="QAN134" t="s">
        <v>61</v>
      </c>
      <c r="QAO134" t="s">
        <v>61</v>
      </c>
      <c r="QAP134" t="s">
        <v>61</v>
      </c>
      <c r="QAQ134" t="s">
        <v>61</v>
      </c>
      <c r="QAR134" t="s">
        <v>61</v>
      </c>
      <c r="QAS134" t="s">
        <v>61</v>
      </c>
      <c r="QAT134" t="s">
        <v>61</v>
      </c>
      <c r="QAU134" t="s">
        <v>61</v>
      </c>
      <c r="QAV134" t="s">
        <v>61</v>
      </c>
      <c r="QAW134" t="s">
        <v>61</v>
      </c>
      <c r="QAX134" t="s">
        <v>61</v>
      </c>
      <c r="QAY134" t="s">
        <v>61</v>
      </c>
      <c r="QAZ134" t="s">
        <v>61</v>
      </c>
      <c r="QBA134" t="s">
        <v>61</v>
      </c>
      <c r="QBB134" t="s">
        <v>61</v>
      </c>
      <c r="QBC134" t="s">
        <v>61</v>
      </c>
      <c r="QBD134" t="s">
        <v>61</v>
      </c>
      <c r="QBE134" t="s">
        <v>61</v>
      </c>
      <c r="QBF134" t="s">
        <v>61</v>
      </c>
      <c r="QBG134" t="s">
        <v>61</v>
      </c>
      <c r="QBH134" t="s">
        <v>61</v>
      </c>
      <c r="QBI134" t="s">
        <v>61</v>
      </c>
      <c r="QBJ134" t="s">
        <v>61</v>
      </c>
      <c r="QBK134" t="s">
        <v>61</v>
      </c>
      <c r="QBL134" t="s">
        <v>61</v>
      </c>
      <c r="QBM134" t="s">
        <v>61</v>
      </c>
      <c r="QBN134" t="s">
        <v>61</v>
      </c>
      <c r="QBO134" t="s">
        <v>61</v>
      </c>
      <c r="QBP134" t="s">
        <v>61</v>
      </c>
      <c r="QBQ134" t="s">
        <v>61</v>
      </c>
      <c r="QBR134" t="s">
        <v>61</v>
      </c>
      <c r="QBS134" t="s">
        <v>61</v>
      </c>
      <c r="QBT134" t="s">
        <v>61</v>
      </c>
      <c r="QBU134" t="s">
        <v>61</v>
      </c>
      <c r="QBV134" t="s">
        <v>61</v>
      </c>
      <c r="QBW134" t="s">
        <v>61</v>
      </c>
      <c r="QBX134" t="s">
        <v>61</v>
      </c>
      <c r="QBY134" t="s">
        <v>61</v>
      </c>
      <c r="QBZ134" t="s">
        <v>61</v>
      </c>
      <c r="QCA134" t="s">
        <v>61</v>
      </c>
      <c r="QCB134" t="s">
        <v>61</v>
      </c>
      <c r="QCC134" t="s">
        <v>61</v>
      </c>
      <c r="QCD134" t="s">
        <v>61</v>
      </c>
      <c r="QCE134" t="s">
        <v>61</v>
      </c>
      <c r="QCF134" t="s">
        <v>61</v>
      </c>
      <c r="QCG134" t="s">
        <v>61</v>
      </c>
      <c r="QCH134" t="s">
        <v>61</v>
      </c>
      <c r="QCI134" t="s">
        <v>61</v>
      </c>
      <c r="QCJ134" t="s">
        <v>61</v>
      </c>
      <c r="QCK134" t="s">
        <v>61</v>
      </c>
      <c r="QCL134" t="s">
        <v>61</v>
      </c>
      <c r="QCM134" t="s">
        <v>61</v>
      </c>
      <c r="QCN134" t="s">
        <v>61</v>
      </c>
      <c r="QCO134" t="s">
        <v>61</v>
      </c>
      <c r="QCP134" t="s">
        <v>61</v>
      </c>
      <c r="QCQ134" t="s">
        <v>61</v>
      </c>
      <c r="QCR134" t="s">
        <v>61</v>
      </c>
      <c r="QCS134" t="s">
        <v>61</v>
      </c>
      <c r="QCT134" t="s">
        <v>61</v>
      </c>
      <c r="QCU134" t="s">
        <v>61</v>
      </c>
      <c r="QCV134" t="s">
        <v>61</v>
      </c>
      <c r="QCW134" t="s">
        <v>61</v>
      </c>
      <c r="QCX134" t="s">
        <v>61</v>
      </c>
      <c r="QCY134" t="s">
        <v>61</v>
      </c>
      <c r="QCZ134" t="s">
        <v>61</v>
      </c>
      <c r="QDA134" t="s">
        <v>61</v>
      </c>
      <c r="QDB134" t="s">
        <v>61</v>
      </c>
      <c r="QDC134" t="s">
        <v>61</v>
      </c>
      <c r="QDD134" t="s">
        <v>61</v>
      </c>
      <c r="QDE134" t="s">
        <v>61</v>
      </c>
      <c r="QDF134" t="s">
        <v>61</v>
      </c>
      <c r="QDG134" t="s">
        <v>61</v>
      </c>
      <c r="QDH134" t="s">
        <v>61</v>
      </c>
      <c r="QDI134" t="s">
        <v>61</v>
      </c>
      <c r="QDJ134" t="s">
        <v>61</v>
      </c>
      <c r="QDK134" t="s">
        <v>61</v>
      </c>
      <c r="QDL134" t="s">
        <v>61</v>
      </c>
      <c r="QDM134" t="s">
        <v>61</v>
      </c>
      <c r="QDN134" t="s">
        <v>61</v>
      </c>
      <c r="QDO134" t="s">
        <v>61</v>
      </c>
      <c r="QDP134" t="s">
        <v>61</v>
      </c>
      <c r="QDQ134" t="s">
        <v>61</v>
      </c>
      <c r="QDR134" t="s">
        <v>61</v>
      </c>
      <c r="QDS134" t="s">
        <v>61</v>
      </c>
      <c r="QDT134" t="s">
        <v>61</v>
      </c>
      <c r="QDU134" t="s">
        <v>61</v>
      </c>
      <c r="QDV134" t="s">
        <v>61</v>
      </c>
      <c r="QDW134" t="s">
        <v>61</v>
      </c>
      <c r="QDX134" t="s">
        <v>61</v>
      </c>
      <c r="QDY134" t="s">
        <v>61</v>
      </c>
      <c r="QDZ134" t="s">
        <v>61</v>
      </c>
      <c r="QEA134" t="s">
        <v>61</v>
      </c>
      <c r="QEB134" t="s">
        <v>61</v>
      </c>
      <c r="QEC134" t="s">
        <v>61</v>
      </c>
      <c r="QED134" t="s">
        <v>61</v>
      </c>
      <c r="QEE134" t="s">
        <v>61</v>
      </c>
      <c r="QEF134" t="s">
        <v>61</v>
      </c>
      <c r="QEG134" t="s">
        <v>61</v>
      </c>
      <c r="QEH134" t="s">
        <v>61</v>
      </c>
      <c r="QEI134" t="s">
        <v>61</v>
      </c>
      <c r="QEJ134" t="s">
        <v>61</v>
      </c>
      <c r="QEK134" t="s">
        <v>61</v>
      </c>
      <c r="QEL134" t="s">
        <v>61</v>
      </c>
      <c r="QEM134" t="s">
        <v>61</v>
      </c>
      <c r="QEN134" t="s">
        <v>61</v>
      </c>
      <c r="QEO134" t="s">
        <v>61</v>
      </c>
      <c r="QEP134" t="s">
        <v>61</v>
      </c>
      <c r="QEQ134" t="s">
        <v>61</v>
      </c>
      <c r="QER134" t="s">
        <v>61</v>
      </c>
      <c r="QES134" t="s">
        <v>61</v>
      </c>
      <c r="QET134" t="s">
        <v>61</v>
      </c>
      <c r="QEU134" t="s">
        <v>61</v>
      </c>
      <c r="QEV134" t="s">
        <v>61</v>
      </c>
      <c r="QEW134" t="s">
        <v>61</v>
      </c>
      <c r="QEX134" t="s">
        <v>61</v>
      </c>
      <c r="QEY134" t="s">
        <v>61</v>
      </c>
      <c r="QEZ134" t="s">
        <v>61</v>
      </c>
      <c r="QFA134" t="s">
        <v>61</v>
      </c>
      <c r="QFB134" t="s">
        <v>61</v>
      </c>
      <c r="QFC134" t="s">
        <v>61</v>
      </c>
      <c r="QFD134" t="s">
        <v>61</v>
      </c>
      <c r="QFE134" t="s">
        <v>61</v>
      </c>
      <c r="QFF134" t="s">
        <v>61</v>
      </c>
      <c r="QFG134" t="s">
        <v>61</v>
      </c>
      <c r="QFH134" t="s">
        <v>61</v>
      </c>
      <c r="QFI134" t="s">
        <v>61</v>
      </c>
      <c r="QFJ134" t="s">
        <v>61</v>
      </c>
      <c r="QFK134" t="s">
        <v>61</v>
      </c>
      <c r="QFL134" t="s">
        <v>61</v>
      </c>
      <c r="QFM134" t="s">
        <v>61</v>
      </c>
      <c r="QFN134" t="s">
        <v>61</v>
      </c>
      <c r="QFO134" t="s">
        <v>61</v>
      </c>
      <c r="QFP134" t="s">
        <v>61</v>
      </c>
      <c r="QFQ134" t="s">
        <v>61</v>
      </c>
      <c r="QFR134" t="s">
        <v>61</v>
      </c>
      <c r="QFS134" t="s">
        <v>61</v>
      </c>
      <c r="QFT134" t="s">
        <v>61</v>
      </c>
      <c r="QFU134" t="s">
        <v>61</v>
      </c>
      <c r="QFV134" t="s">
        <v>61</v>
      </c>
      <c r="QFW134" t="s">
        <v>61</v>
      </c>
      <c r="QFX134" t="s">
        <v>61</v>
      </c>
      <c r="QFY134" t="s">
        <v>61</v>
      </c>
      <c r="QFZ134" t="s">
        <v>61</v>
      </c>
      <c r="QGA134" t="s">
        <v>61</v>
      </c>
      <c r="QGB134" t="s">
        <v>61</v>
      </c>
      <c r="QGC134" t="s">
        <v>61</v>
      </c>
      <c r="QGD134" t="s">
        <v>61</v>
      </c>
      <c r="QGE134" t="s">
        <v>61</v>
      </c>
      <c r="QGF134" t="s">
        <v>61</v>
      </c>
      <c r="QGG134" t="s">
        <v>61</v>
      </c>
      <c r="QGH134" t="s">
        <v>61</v>
      </c>
      <c r="QGI134" t="s">
        <v>61</v>
      </c>
      <c r="QGJ134" t="s">
        <v>61</v>
      </c>
      <c r="QGK134" t="s">
        <v>61</v>
      </c>
      <c r="QGL134" t="s">
        <v>61</v>
      </c>
      <c r="QGM134" t="s">
        <v>61</v>
      </c>
      <c r="QGN134" t="s">
        <v>61</v>
      </c>
      <c r="QGO134" t="s">
        <v>61</v>
      </c>
      <c r="QGP134" t="s">
        <v>61</v>
      </c>
      <c r="QGQ134" t="s">
        <v>61</v>
      </c>
      <c r="QGR134" t="s">
        <v>61</v>
      </c>
      <c r="QGS134" t="s">
        <v>61</v>
      </c>
      <c r="QGT134" t="s">
        <v>61</v>
      </c>
      <c r="QGU134" t="s">
        <v>61</v>
      </c>
      <c r="QGV134" t="s">
        <v>61</v>
      </c>
      <c r="QGW134" t="s">
        <v>61</v>
      </c>
      <c r="QGX134" t="s">
        <v>61</v>
      </c>
      <c r="QGY134" t="s">
        <v>61</v>
      </c>
      <c r="QGZ134" t="s">
        <v>61</v>
      </c>
      <c r="QHA134" t="s">
        <v>61</v>
      </c>
      <c r="QHB134" t="s">
        <v>61</v>
      </c>
      <c r="QHC134" t="s">
        <v>61</v>
      </c>
      <c r="QHD134" t="s">
        <v>61</v>
      </c>
      <c r="QHE134" t="s">
        <v>61</v>
      </c>
      <c r="QHF134" t="s">
        <v>61</v>
      </c>
      <c r="QHG134" t="s">
        <v>61</v>
      </c>
      <c r="QHH134" t="s">
        <v>61</v>
      </c>
      <c r="QHI134" t="s">
        <v>61</v>
      </c>
      <c r="QHJ134" t="s">
        <v>61</v>
      </c>
      <c r="QHK134" t="s">
        <v>61</v>
      </c>
      <c r="QHL134" t="s">
        <v>61</v>
      </c>
      <c r="QHM134" t="s">
        <v>61</v>
      </c>
      <c r="QHN134" t="s">
        <v>61</v>
      </c>
      <c r="QHO134" t="s">
        <v>61</v>
      </c>
      <c r="QHP134" t="s">
        <v>61</v>
      </c>
      <c r="QHQ134" t="s">
        <v>61</v>
      </c>
      <c r="QHR134" t="s">
        <v>61</v>
      </c>
      <c r="QHS134" t="s">
        <v>61</v>
      </c>
      <c r="QHT134" t="s">
        <v>61</v>
      </c>
      <c r="QHU134" t="s">
        <v>61</v>
      </c>
      <c r="QHV134" t="s">
        <v>61</v>
      </c>
      <c r="QHW134" t="s">
        <v>61</v>
      </c>
      <c r="QHX134" t="s">
        <v>61</v>
      </c>
      <c r="QHY134" t="s">
        <v>61</v>
      </c>
      <c r="QHZ134" t="s">
        <v>61</v>
      </c>
      <c r="QIA134" t="s">
        <v>61</v>
      </c>
      <c r="QIB134" t="s">
        <v>61</v>
      </c>
      <c r="QIC134" t="s">
        <v>61</v>
      </c>
      <c r="QID134" t="s">
        <v>61</v>
      </c>
      <c r="QIE134" t="s">
        <v>61</v>
      </c>
      <c r="QIF134" t="s">
        <v>61</v>
      </c>
      <c r="QIG134" t="s">
        <v>61</v>
      </c>
      <c r="QIH134" t="s">
        <v>61</v>
      </c>
      <c r="QII134" t="s">
        <v>61</v>
      </c>
      <c r="QIJ134" t="s">
        <v>61</v>
      </c>
      <c r="QIK134" t="s">
        <v>61</v>
      </c>
      <c r="QIL134" t="s">
        <v>61</v>
      </c>
      <c r="QIM134" t="s">
        <v>61</v>
      </c>
      <c r="QIN134" t="s">
        <v>61</v>
      </c>
      <c r="QIO134" t="s">
        <v>61</v>
      </c>
      <c r="QIP134" t="s">
        <v>61</v>
      </c>
      <c r="QIQ134" t="s">
        <v>61</v>
      </c>
      <c r="QIR134" t="s">
        <v>61</v>
      </c>
      <c r="QIS134" t="s">
        <v>61</v>
      </c>
      <c r="QIT134" t="s">
        <v>61</v>
      </c>
      <c r="QIU134" t="s">
        <v>61</v>
      </c>
      <c r="QIV134" t="s">
        <v>61</v>
      </c>
      <c r="QIW134" t="s">
        <v>61</v>
      </c>
      <c r="QIX134" t="s">
        <v>61</v>
      </c>
      <c r="QIY134" t="s">
        <v>61</v>
      </c>
      <c r="QIZ134" t="s">
        <v>61</v>
      </c>
      <c r="QJA134" t="s">
        <v>61</v>
      </c>
      <c r="QJB134" t="s">
        <v>61</v>
      </c>
      <c r="QJC134" t="s">
        <v>61</v>
      </c>
      <c r="QJD134" t="s">
        <v>61</v>
      </c>
      <c r="QJE134" t="s">
        <v>61</v>
      </c>
      <c r="QJF134" t="s">
        <v>61</v>
      </c>
      <c r="QJG134" t="s">
        <v>61</v>
      </c>
      <c r="QJH134" t="s">
        <v>61</v>
      </c>
      <c r="QJI134" t="s">
        <v>61</v>
      </c>
      <c r="QJJ134" t="s">
        <v>61</v>
      </c>
      <c r="QJK134" t="s">
        <v>61</v>
      </c>
      <c r="QJL134" t="s">
        <v>61</v>
      </c>
      <c r="QJM134" t="s">
        <v>61</v>
      </c>
      <c r="QJN134" t="s">
        <v>61</v>
      </c>
      <c r="QJO134" t="s">
        <v>61</v>
      </c>
      <c r="QJP134" t="s">
        <v>61</v>
      </c>
      <c r="QJQ134" t="s">
        <v>61</v>
      </c>
      <c r="QJR134" t="s">
        <v>61</v>
      </c>
      <c r="QJS134" t="s">
        <v>61</v>
      </c>
      <c r="QJT134" t="s">
        <v>61</v>
      </c>
      <c r="QJU134" t="s">
        <v>61</v>
      </c>
      <c r="QJV134" t="s">
        <v>61</v>
      </c>
      <c r="QJW134" t="s">
        <v>61</v>
      </c>
      <c r="QJX134" t="s">
        <v>61</v>
      </c>
      <c r="QJY134" t="s">
        <v>61</v>
      </c>
      <c r="QJZ134" t="s">
        <v>61</v>
      </c>
      <c r="QKA134" t="s">
        <v>61</v>
      </c>
      <c r="QKB134" t="s">
        <v>61</v>
      </c>
      <c r="QKC134" t="s">
        <v>61</v>
      </c>
      <c r="QKD134" t="s">
        <v>61</v>
      </c>
      <c r="QKE134" t="s">
        <v>61</v>
      </c>
      <c r="QKF134" t="s">
        <v>61</v>
      </c>
      <c r="QKG134" t="s">
        <v>61</v>
      </c>
      <c r="QKH134" t="s">
        <v>61</v>
      </c>
      <c r="QKI134" t="s">
        <v>61</v>
      </c>
      <c r="QKJ134" t="s">
        <v>61</v>
      </c>
      <c r="QKK134" t="s">
        <v>61</v>
      </c>
      <c r="QKL134" t="s">
        <v>61</v>
      </c>
      <c r="QKM134" t="s">
        <v>61</v>
      </c>
      <c r="QKN134" t="s">
        <v>61</v>
      </c>
      <c r="QKO134" t="s">
        <v>61</v>
      </c>
      <c r="QKP134" t="s">
        <v>61</v>
      </c>
      <c r="QKQ134" t="s">
        <v>61</v>
      </c>
      <c r="QKR134" t="s">
        <v>61</v>
      </c>
      <c r="QKS134" t="s">
        <v>61</v>
      </c>
      <c r="QKT134" t="s">
        <v>61</v>
      </c>
      <c r="QKU134" t="s">
        <v>61</v>
      </c>
      <c r="QKV134" t="s">
        <v>61</v>
      </c>
      <c r="QKW134" t="s">
        <v>61</v>
      </c>
      <c r="QKX134" t="s">
        <v>61</v>
      </c>
      <c r="QKY134" t="s">
        <v>61</v>
      </c>
      <c r="QKZ134" t="s">
        <v>61</v>
      </c>
      <c r="QLA134" t="s">
        <v>61</v>
      </c>
      <c r="QLB134" t="s">
        <v>61</v>
      </c>
      <c r="QLC134" t="s">
        <v>61</v>
      </c>
      <c r="QLD134" t="s">
        <v>61</v>
      </c>
      <c r="QLE134" t="s">
        <v>61</v>
      </c>
      <c r="QLF134" t="s">
        <v>61</v>
      </c>
      <c r="QLG134" t="s">
        <v>61</v>
      </c>
      <c r="QLH134" t="s">
        <v>61</v>
      </c>
      <c r="QLI134" t="s">
        <v>61</v>
      </c>
      <c r="QLJ134" t="s">
        <v>61</v>
      </c>
      <c r="QLK134" t="s">
        <v>61</v>
      </c>
      <c r="QLL134" t="s">
        <v>61</v>
      </c>
      <c r="QLM134" t="s">
        <v>61</v>
      </c>
      <c r="QLN134" t="s">
        <v>61</v>
      </c>
      <c r="QLO134" t="s">
        <v>61</v>
      </c>
      <c r="QLP134" t="s">
        <v>61</v>
      </c>
      <c r="QLQ134" t="s">
        <v>61</v>
      </c>
      <c r="QLR134" t="s">
        <v>61</v>
      </c>
      <c r="QLS134" t="s">
        <v>61</v>
      </c>
      <c r="QLT134" t="s">
        <v>61</v>
      </c>
      <c r="QLU134" t="s">
        <v>61</v>
      </c>
      <c r="QLV134" t="s">
        <v>61</v>
      </c>
      <c r="QLW134" t="s">
        <v>61</v>
      </c>
      <c r="QLX134" t="s">
        <v>61</v>
      </c>
      <c r="QLY134" t="s">
        <v>61</v>
      </c>
      <c r="QLZ134" t="s">
        <v>61</v>
      </c>
      <c r="QMA134" t="s">
        <v>61</v>
      </c>
      <c r="QMB134" t="s">
        <v>61</v>
      </c>
      <c r="QMC134" t="s">
        <v>61</v>
      </c>
      <c r="QMD134" t="s">
        <v>61</v>
      </c>
      <c r="QME134" t="s">
        <v>61</v>
      </c>
      <c r="QMF134" t="s">
        <v>61</v>
      </c>
      <c r="QMG134" t="s">
        <v>61</v>
      </c>
      <c r="QMH134" t="s">
        <v>61</v>
      </c>
      <c r="QMI134" t="s">
        <v>61</v>
      </c>
      <c r="QMJ134" t="s">
        <v>61</v>
      </c>
      <c r="QMK134" t="s">
        <v>61</v>
      </c>
      <c r="QML134" t="s">
        <v>61</v>
      </c>
      <c r="QMM134" t="s">
        <v>61</v>
      </c>
      <c r="QMN134" t="s">
        <v>61</v>
      </c>
      <c r="QMO134" t="s">
        <v>61</v>
      </c>
      <c r="QMP134" t="s">
        <v>61</v>
      </c>
      <c r="QMQ134" t="s">
        <v>61</v>
      </c>
      <c r="QMR134" t="s">
        <v>61</v>
      </c>
      <c r="QMS134" t="s">
        <v>61</v>
      </c>
      <c r="QMT134" t="s">
        <v>61</v>
      </c>
      <c r="QMU134" t="s">
        <v>61</v>
      </c>
      <c r="QMV134" t="s">
        <v>61</v>
      </c>
      <c r="QMW134" t="s">
        <v>61</v>
      </c>
      <c r="QMX134" t="s">
        <v>61</v>
      </c>
      <c r="QMY134" t="s">
        <v>61</v>
      </c>
      <c r="QMZ134" t="s">
        <v>61</v>
      </c>
      <c r="QNA134" t="s">
        <v>61</v>
      </c>
      <c r="QNB134" t="s">
        <v>61</v>
      </c>
      <c r="QNC134" t="s">
        <v>61</v>
      </c>
      <c r="QND134" t="s">
        <v>61</v>
      </c>
      <c r="QNE134" t="s">
        <v>61</v>
      </c>
      <c r="QNF134" t="s">
        <v>61</v>
      </c>
      <c r="QNG134" t="s">
        <v>61</v>
      </c>
      <c r="QNH134" t="s">
        <v>61</v>
      </c>
      <c r="QNI134" t="s">
        <v>61</v>
      </c>
      <c r="QNJ134" t="s">
        <v>61</v>
      </c>
      <c r="QNK134" t="s">
        <v>61</v>
      </c>
      <c r="QNL134" t="s">
        <v>61</v>
      </c>
      <c r="QNM134" t="s">
        <v>61</v>
      </c>
      <c r="QNN134" t="s">
        <v>61</v>
      </c>
      <c r="QNO134" t="s">
        <v>61</v>
      </c>
      <c r="QNP134" t="s">
        <v>61</v>
      </c>
      <c r="QNQ134" t="s">
        <v>61</v>
      </c>
      <c r="QNR134" t="s">
        <v>61</v>
      </c>
      <c r="QNS134" t="s">
        <v>61</v>
      </c>
      <c r="QNT134" t="s">
        <v>61</v>
      </c>
      <c r="QNU134" t="s">
        <v>61</v>
      </c>
      <c r="QNV134" t="s">
        <v>61</v>
      </c>
      <c r="QNW134" t="s">
        <v>61</v>
      </c>
      <c r="QNX134" t="s">
        <v>61</v>
      </c>
      <c r="QNY134" t="s">
        <v>61</v>
      </c>
      <c r="QNZ134" t="s">
        <v>61</v>
      </c>
      <c r="QOA134" t="s">
        <v>61</v>
      </c>
      <c r="QOB134" t="s">
        <v>61</v>
      </c>
      <c r="QOC134" t="s">
        <v>61</v>
      </c>
      <c r="QOD134" t="s">
        <v>61</v>
      </c>
      <c r="QOE134" t="s">
        <v>61</v>
      </c>
      <c r="QOF134" t="s">
        <v>61</v>
      </c>
      <c r="QOG134" t="s">
        <v>61</v>
      </c>
      <c r="QOH134" t="s">
        <v>61</v>
      </c>
      <c r="QOI134" t="s">
        <v>61</v>
      </c>
      <c r="QOJ134" t="s">
        <v>61</v>
      </c>
      <c r="QOK134" t="s">
        <v>61</v>
      </c>
      <c r="QOL134" t="s">
        <v>61</v>
      </c>
      <c r="QOM134" t="s">
        <v>61</v>
      </c>
      <c r="QON134" t="s">
        <v>61</v>
      </c>
      <c r="QOO134" t="s">
        <v>61</v>
      </c>
      <c r="QOP134" t="s">
        <v>61</v>
      </c>
      <c r="QOQ134" t="s">
        <v>61</v>
      </c>
      <c r="QOR134" t="s">
        <v>61</v>
      </c>
      <c r="QOS134" t="s">
        <v>61</v>
      </c>
      <c r="QOT134" t="s">
        <v>61</v>
      </c>
      <c r="QOU134" t="s">
        <v>61</v>
      </c>
      <c r="QOV134" t="s">
        <v>61</v>
      </c>
      <c r="QOW134" t="s">
        <v>61</v>
      </c>
      <c r="QOX134" t="s">
        <v>61</v>
      </c>
      <c r="QOY134" t="s">
        <v>61</v>
      </c>
      <c r="QOZ134" t="s">
        <v>61</v>
      </c>
      <c r="QPA134" t="s">
        <v>61</v>
      </c>
      <c r="QPB134" t="s">
        <v>61</v>
      </c>
      <c r="QPC134" t="s">
        <v>61</v>
      </c>
      <c r="QPD134" t="s">
        <v>61</v>
      </c>
      <c r="QPE134" t="s">
        <v>61</v>
      </c>
      <c r="QPF134" t="s">
        <v>61</v>
      </c>
      <c r="QPG134" t="s">
        <v>61</v>
      </c>
      <c r="QPH134" t="s">
        <v>61</v>
      </c>
      <c r="QPI134" t="s">
        <v>61</v>
      </c>
      <c r="QPJ134" t="s">
        <v>61</v>
      </c>
      <c r="QPK134" t="s">
        <v>61</v>
      </c>
      <c r="QPL134" t="s">
        <v>61</v>
      </c>
      <c r="QPM134" t="s">
        <v>61</v>
      </c>
      <c r="QPN134" t="s">
        <v>61</v>
      </c>
      <c r="QPO134" t="s">
        <v>61</v>
      </c>
      <c r="QPP134" t="s">
        <v>61</v>
      </c>
      <c r="QPQ134" t="s">
        <v>61</v>
      </c>
      <c r="QPR134" t="s">
        <v>61</v>
      </c>
      <c r="QPS134" t="s">
        <v>61</v>
      </c>
      <c r="QPT134" t="s">
        <v>61</v>
      </c>
      <c r="QPU134" t="s">
        <v>61</v>
      </c>
      <c r="QPV134" t="s">
        <v>61</v>
      </c>
      <c r="QPW134" t="s">
        <v>61</v>
      </c>
      <c r="QPX134" t="s">
        <v>61</v>
      </c>
      <c r="QPY134" t="s">
        <v>61</v>
      </c>
      <c r="QPZ134" t="s">
        <v>61</v>
      </c>
      <c r="QQA134" t="s">
        <v>61</v>
      </c>
      <c r="QQB134" t="s">
        <v>61</v>
      </c>
      <c r="QQC134" t="s">
        <v>61</v>
      </c>
      <c r="QQD134" t="s">
        <v>61</v>
      </c>
      <c r="QQE134" t="s">
        <v>61</v>
      </c>
      <c r="QQF134" t="s">
        <v>61</v>
      </c>
      <c r="QQG134" t="s">
        <v>61</v>
      </c>
      <c r="QQH134" t="s">
        <v>61</v>
      </c>
      <c r="QQI134" t="s">
        <v>61</v>
      </c>
      <c r="QQJ134" t="s">
        <v>61</v>
      </c>
      <c r="QQK134" t="s">
        <v>61</v>
      </c>
      <c r="QQL134" t="s">
        <v>61</v>
      </c>
      <c r="QQM134" t="s">
        <v>61</v>
      </c>
      <c r="QQN134" t="s">
        <v>61</v>
      </c>
      <c r="QQO134" t="s">
        <v>61</v>
      </c>
      <c r="QQP134" t="s">
        <v>61</v>
      </c>
      <c r="QQQ134" t="s">
        <v>61</v>
      </c>
      <c r="QQR134" t="s">
        <v>61</v>
      </c>
      <c r="QQS134" t="s">
        <v>61</v>
      </c>
      <c r="QQT134" t="s">
        <v>61</v>
      </c>
      <c r="QQU134" t="s">
        <v>61</v>
      </c>
      <c r="QQV134" t="s">
        <v>61</v>
      </c>
      <c r="QQW134" t="s">
        <v>61</v>
      </c>
      <c r="QQX134" t="s">
        <v>61</v>
      </c>
      <c r="QQY134" t="s">
        <v>61</v>
      </c>
      <c r="QQZ134" t="s">
        <v>61</v>
      </c>
      <c r="QRA134" t="s">
        <v>61</v>
      </c>
      <c r="QRB134" t="s">
        <v>61</v>
      </c>
      <c r="QRC134" t="s">
        <v>61</v>
      </c>
      <c r="QRD134" t="s">
        <v>61</v>
      </c>
      <c r="QRE134" t="s">
        <v>61</v>
      </c>
      <c r="QRF134" t="s">
        <v>61</v>
      </c>
      <c r="QRG134" t="s">
        <v>61</v>
      </c>
      <c r="QRH134" t="s">
        <v>61</v>
      </c>
      <c r="QRI134" t="s">
        <v>61</v>
      </c>
      <c r="QRJ134" t="s">
        <v>61</v>
      </c>
      <c r="QRK134" t="s">
        <v>61</v>
      </c>
      <c r="QRL134" t="s">
        <v>61</v>
      </c>
      <c r="QRM134" t="s">
        <v>61</v>
      </c>
      <c r="QRN134" t="s">
        <v>61</v>
      </c>
      <c r="QRO134" t="s">
        <v>61</v>
      </c>
      <c r="QRP134" t="s">
        <v>61</v>
      </c>
      <c r="QRQ134" t="s">
        <v>61</v>
      </c>
      <c r="QRR134" t="s">
        <v>61</v>
      </c>
      <c r="QRS134" t="s">
        <v>61</v>
      </c>
      <c r="QRT134" t="s">
        <v>61</v>
      </c>
      <c r="QRU134" t="s">
        <v>61</v>
      </c>
      <c r="QRV134" t="s">
        <v>61</v>
      </c>
      <c r="QRW134" t="s">
        <v>61</v>
      </c>
      <c r="QRX134" t="s">
        <v>61</v>
      </c>
      <c r="QRY134" t="s">
        <v>61</v>
      </c>
      <c r="QRZ134" t="s">
        <v>61</v>
      </c>
      <c r="QSA134" t="s">
        <v>61</v>
      </c>
      <c r="QSB134" t="s">
        <v>61</v>
      </c>
      <c r="QSC134" t="s">
        <v>61</v>
      </c>
      <c r="QSD134" t="s">
        <v>61</v>
      </c>
      <c r="QSE134" t="s">
        <v>61</v>
      </c>
      <c r="QSF134" t="s">
        <v>61</v>
      </c>
      <c r="QSG134" t="s">
        <v>61</v>
      </c>
      <c r="QSH134" t="s">
        <v>61</v>
      </c>
      <c r="QSI134" t="s">
        <v>61</v>
      </c>
      <c r="QSJ134" t="s">
        <v>61</v>
      </c>
      <c r="QSK134" t="s">
        <v>61</v>
      </c>
      <c r="QSL134" t="s">
        <v>61</v>
      </c>
      <c r="QSM134" t="s">
        <v>61</v>
      </c>
      <c r="QSN134" t="s">
        <v>61</v>
      </c>
      <c r="QSO134" t="s">
        <v>61</v>
      </c>
      <c r="QSP134" t="s">
        <v>61</v>
      </c>
      <c r="QSQ134" t="s">
        <v>61</v>
      </c>
      <c r="QSR134" t="s">
        <v>61</v>
      </c>
      <c r="QSS134" t="s">
        <v>61</v>
      </c>
      <c r="QST134" t="s">
        <v>61</v>
      </c>
      <c r="QSU134" t="s">
        <v>61</v>
      </c>
      <c r="QSV134" t="s">
        <v>61</v>
      </c>
      <c r="QSW134" t="s">
        <v>61</v>
      </c>
      <c r="QSX134" t="s">
        <v>61</v>
      </c>
      <c r="QSY134" t="s">
        <v>61</v>
      </c>
      <c r="QSZ134" t="s">
        <v>61</v>
      </c>
      <c r="QTA134" t="s">
        <v>61</v>
      </c>
      <c r="QTB134" t="s">
        <v>61</v>
      </c>
      <c r="QTC134" t="s">
        <v>61</v>
      </c>
      <c r="QTD134" t="s">
        <v>61</v>
      </c>
      <c r="QTE134" t="s">
        <v>61</v>
      </c>
      <c r="QTF134" t="s">
        <v>61</v>
      </c>
      <c r="QTG134" t="s">
        <v>61</v>
      </c>
      <c r="QTH134" t="s">
        <v>61</v>
      </c>
      <c r="QTI134" t="s">
        <v>61</v>
      </c>
      <c r="QTJ134" t="s">
        <v>61</v>
      </c>
      <c r="QTK134" t="s">
        <v>61</v>
      </c>
      <c r="QTL134" t="s">
        <v>61</v>
      </c>
      <c r="QTM134" t="s">
        <v>61</v>
      </c>
      <c r="QTN134" t="s">
        <v>61</v>
      </c>
      <c r="QTO134" t="s">
        <v>61</v>
      </c>
      <c r="QTP134" t="s">
        <v>61</v>
      </c>
      <c r="QTQ134" t="s">
        <v>61</v>
      </c>
      <c r="QTR134" t="s">
        <v>61</v>
      </c>
      <c r="QTS134" t="s">
        <v>61</v>
      </c>
      <c r="QTT134" t="s">
        <v>61</v>
      </c>
      <c r="QTU134" t="s">
        <v>61</v>
      </c>
      <c r="QTV134" t="s">
        <v>61</v>
      </c>
      <c r="QTW134" t="s">
        <v>61</v>
      </c>
      <c r="QTX134" t="s">
        <v>61</v>
      </c>
      <c r="QTY134" t="s">
        <v>61</v>
      </c>
      <c r="QTZ134" t="s">
        <v>61</v>
      </c>
      <c r="QUA134" t="s">
        <v>61</v>
      </c>
      <c r="QUB134" t="s">
        <v>61</v>
      </c>
      <c r="QUC134" t="s">
        <v>61</v>
      </c>
      <c r="QUD134" t="s">
        <v>61</v>
      </c>
      <c r="QUE134" t="s">
        <v>61</v>
      </c>
      <c r="QUF134" t="s">
        <v>61</v>
      </c>
      <c r="QUG134" t="s">
        <v>61</v>
      </c>
      <c r="QUH134" t="s">
        <v>61</v>
      </c>
      <c r="QUI134" t="s">
        <v>61</v>
      </c>
      <c r="QUJ134" t="s">
        <v>61</v>
      </c>
      <c r="QUK134" t="s">
        <v>61</v>
      </c>
      <c r="QUL134" t="s">
        <v>61</v>
      </c>
      <c r="QUM134" t="s">
        <v>61</v>
      </c>
      <c r="QUN134" t="s">
        <v>61</v>
      </c>
      <c r="QUO134" t="s">
        <v>61</v>
      </c>
      <c r="QUP134" t="s">
        <v>61</v>
      </c>
      <c r="QUQ134" t="s">
        <v>61</v>
      </c>
      <c r="QUR134" t="s">
        <v>61</v>
      </c>
      <c r="QUS134" t="s">
        <v>61</v>
      </c>
      <c r="QUT134" t="s">
        <v>61</v>
      </c>
      <c r="QUU134" t="s">
        <v>61</v>
      </c>
      <c r="QUV134" t="s">
        <v>61</v>
      </c>
      <c r="QUW134" t="s">
        <v>61</v>
      </c>
      <c r="QUX134" t="s">
        <v>61</v>
      </c>
      <c r="QUY134" t="s">
        <v>61</v>
      </c>
      <c r="QUZ134" t="s">
        <v>61</v>
      </c>
      <c r="QVA134" t="s">
        <v>61</v>
      </c>
      <c r="QVB134" t="s">
        <v>61</v>
      </c>
      <c r="QVC134" t="s">
        <v>61</v>
      </c>
      <c r="QVD134" t="s">
        <v>61</v>
      </c>
      <c r="QVE134" t="s">
        <v>61</v>
      </c>
      <c r="QVF134" t="s">
        <v>61</v>
      </c>
      <c r="QVG134" t="s">
        <v>61</v>
      </c>
      <c r="QVH134" t="s">
        <v>61</v>
      </c>
      <c r="QVI134" t="s">
        <v>61</v>
      </c>
      <c r="QVJ134" t="s">
        <v>61</v>
      </c>
      <c r="QVK134" t="s">
        <v>61</v>
      </c>
      <c r="QVL134" t="s">
        <v>61</v>
      </c>
      <c r="QVM134" t="s">
        <v>61</v>
      </c>
      <c r="QVN134" t="s">
        <v>61</v>
      </c>
      <c r="QVO134" t="s">
        <v>61</v>
      </c>
      <c r="QVP134" t="s">
        <v>61</v>
      </c>
      <c r="QVQ134" t="s">
        <v>61</v>
      </c>
      <c r="QVR134" t="s">
        <v>61</v>
      </c>
      <c r="QVS134" t="s">
        <v>61</v>
      </c>
      <c r="QVT134" t="s">
        <v>61</v>
      </c>
      <c r="QVU134" t="s">
        <v>61</v>
      </c>
      <c r="QVV134" t="s">
        <v>61</v>
      </c>
      <c r="QVW134" t="s">
        <v>61</v>
      </c>
      <c r="QVX134" t="s">
        <v>61</v>
      </c>
      <c r="QVY134" t="s">
        <v>61</v>
      </c>
      <c r="QVZ134" t="s">
        <v>61</v>
      </c>
      <c r="QWA134" t="s">
        <v>61</v>
      </c>
      <c r="QWB134" t="s">
        <v>61</v>
      </c>
      <c r="QWC134" t="s">
        <v>61</v>
      </c>
      <c r="QWD134" t="s">
        <v>61</v>
      </c>
      <c r="QWE134" t="s">
        <v>61</v>
      </c>
      <c r="QWF134" t="s">
        <v>61</v>
      </c>
      <c r="QWG134" t="s">
        <v>61</v>
      </c>
      <c r="QWH134" t="s">
        <v>61</v>
      </c>
      <c r="QWI134" t="s">
        <v>61</v>
      </c>
      <c r="QWJ134" t="s">
        <v>61</v>
      </c>
      <c r="QWK134" t="s">
        <v>61</v>
      </c>
      <c r="QWL134" t="s">
        <v>61</v>
      </c>
      <c r="QWM134" t="s">
        <v>61</v>
      </c>
      <c r="QWN134" t="s">
        <v>61</v>
      </c>
      <c r="QWO134" t="s">
        <v>61</v>
      </c>
      <c r="QWP134" t="s">
        <v>61</v>
      </c>
      <c r="QWQ134" t="s">
        <v>61</v>
      </c>
      <c r="QWR134" t="s">
        <v>61</v>
      </c>
      <c r="QWS134" t="s">
        <v>61</v>
      </c>
      <c r="QWT134" t="s">
        <v>61</v>
      </c>
      <c r="QWU134" t="s">
        <v>61</v>
      </c>
      <c r="QWV134" t="s">
        <v>61</v>
      </c>
      <c r="QWW134" t="s">
        <v>61</v>
      </c>
      <c r="QWX134" t="s">
        <v>61</v>
      </c>
      <c r="QWY134" t="s">
        <v>61</v>
      </c>
      <c r="QWZ134" t="s">
        <v>61</v>
      </c>
      <c r="QXA134" t="s">
        <v>61</v>
      </c>
      <c r="QXB134" t="s">
        <v>61</v>
      </c>
      <c r="QXC134" t="s">
        <v>61</v>
      </c>
      <c r="QXD134" t="s">
        <v>61</v>
      </c>
      <c r="QXE134" t="s">
        <v>61</v>
      </c>
      <c r="QXF134" t="s">
        <v>61</v>
      </c>
      <c r="QXG134" t="s">
        <v>61</v>
      </c>
      <c r="QXH134" t="s">
        <v>61</v>
      </c>
      <c r="QXI134" t="s">
        <v>61</v>
      </c>
      <c r="QXJ134" t="s">
        <v>61</v>
      </c>
      <c r="QXK134" t="s">
        <v>61</v>
      </c>
      <c r="QXL134" t="s">
        <v>61</v>
      </c>
      <c r="QXM134" t="s">
        <v>61</v>
      </c>
      <c r="QXN134" t="s">
        <v>61</v>
      </c>
      <c r="QXO134" t="s">
        <v>61</v>
      </c>
      <c r="QXP134" t="s">
        <v>61</v>
      </c>
      <c r="QXQ134" t="s">
        <v>61</v>
      </c>
      <c r="QXR134" t="s">
        <v>61</v>
      </c>
      <c r="QXS134" t="s">
        <v>61</v>
      </c>
      <c r="QXT134" t="s">
        <v>61</v>
      </c>
      <c r="QXU134" t="s">
        <v>61</v>
      </c>
      <c r="QXV134" t="s">
        <v>61</v>
      </c>
      <c r="QXW134" t="s">
        <v>61</v>
      </c>
      <c r="QXX134" t="s">
        <v>61</v>
      </c>
      <c r="QXY134" t="s">
        <v>61</v>
      </c>
      <c r="QXZ134" t="s">
        <v>61</v>
      </c>
      <c r="QYA134" t="s">
        <v>61</v>
      </c>
      <c r="QYB134" t="s">
        <v>61</v>
      </c>
      <c r="QYC134" t="s">
        <v>61</v>
      </c>
      <c r="QYD134" t="s">
        <v>61</v>
      </c>
      <c r="QYE134" t="s">
        <v>61</v>
      </c>
      <c r="QYF134" t="s">
        <v>61</v>
      </c>
      <c r="QYG134" t="s">
        <v>61</v>
      </c>
      <c r="QYH134" t="s">
        <v>61</v>
      </c>
      <c r="QYI134" t="s">
        <v>61</v>
      </c>
      <c r="QYJ134" t="s">
        <v>61</v>
      </c>
      <c r="QYK134" t="s">
        <v>61</v>
      </c>
      <c r="QYL134" t="s">
        <v>61</v>
      </c>
      <c r="QYM134" t="s">
        <v>61</v>
      </c>
      <c r="QYN134" t="s">
        <v>61</v>
      </c>
      <c r="QYO134" t="s">
        <v>61</v>
      </c>
      <c r="QYP134" t="s">
        <v>61</v>
      </c>
      <c r="QYQ134" t="s">
        <v>61</v>
      </c>
      <c r="QYR134" t="s">
        <v>61</v>
      </c>
      <c r="QYS134" t="s">
        <v>61</v>
      </c>
      <c r="QYT134" t="s">
        <v>61</v>
      </c>
      <c r="QYU134" t="s">
        <v>61</v>
      </c>
      <c r="QYV134" t="s">
        <v>61</v>
      </c>
      <c r="QYW134" t="s">
        <v>61</v>
      </c>
      <c r="QYX134" t="s">
        <v>61</v>
      </c>
      <c r="QYY134" t="s">
        <v>61</v>
      </c>
      <c r="QYZ134" t="s">
        <v>61</v>
      </c>
      <c r="QZA134" t="s">
        <v>61</v>
      </c>
      <c r="QZB134" t="s">
        <v>61</v>
      </c>
      <c r="QZC134" t="s">
        <v>61</v>
      </c>
      <c r="QZD134" t="s">
        <v>61</v>
      </c>
      <c r="QZE134" t="s">
        <v>61</v>
      </c>
      <c r="QZF134" t="s">
        <v>61</v>
      </c>
      <c r="QZG134" t="s">
        <v>61</v>
      </c>
      <c r="QZH134" t="s">
        <v>61</v>
      </c>
      <c r="QZI134" t="s">
        <v>61</v>
      </c>
      <c r="QZJ134" t="s">
        <v>61</v>
      </c>
      <c r="QZK134" t="s">
        <v>61</v>
      </c>
      <c r="QZL134" t="s">
        <v>61</v>
      </c>
      <c r="QZM134" t="s">
        <v>61</v>
      </c>
      <c r="QZN134" t="s">
        <v>61</v>
      </c>
      <c r="QZO134" t="s">
        <v>61</v>
      </c>
      <c r="QZP134" t="s">
        <v>61</v>
      </c>
      <c r="QZQ134" t="s">
        <v>61</v>
      </c>
      <c r="QZR134" t="s">
        <v>61</v>
      </c>
      <c r="QZS134" t="s">
        <v>61</v>
      </c>
      <c r="QZT134" t="s">
        <v>61</v>
      </c>
      <c r="QZU134" t="s">
        <v>61</v>
      </c>
      <c r="QZV134" t="s">
        <v>61</v>
      </c>
      <c r="QZW134" t="s">
        <v>61</v>
      </c>
      <c r="QZX134" t="s">
        <v>61</v>
      </c>
      <c r="QZY134" t="s">
        <v>61</v>
      </c>
      <c r="QZZ134" t="s">
        <v>61</v>
      </c>
      <c r="RAA134" t="s">
        <v>61</v>
      </c>
      <c r="RAB134" t="s">
        <v>61</v>
      </c>
      <c r="RAC134" t="s">
        <v>61</v>
      </c>
      <c r="RAD134" t="s">
        <v>61</v>
      </c>
      <c r="RAE134" t="s">
        <v>61</v>
      </c>
      <c r="RAF134" t="s">
        <v>61</v>
      </c>
      <c r="RAG134" t="s">
        <v>61</v>
      </c>
      <c r="RAH134" t="s">
        <v>61</v>
      </c>
      <c r="RAI134" t="s">
        <v>61</v>
      </c>
      <c r="RAJ134" t="s">
        <v>61</v>
      </c>
      <c r="RAK134" t="s">
        <v>61</v>
      </c>
      <c r="RAL134" t="s">
        <v>61</v>
      </c>
      <c r="RAM134" t="s">
        <v>61</v>
      </c>
      <c r="RAN134" t="s">
        <v>61</v>
      </c>
      <c r="RAO134" t="s">
        <v>61</v>
      </c>
      <c r="RAP134" t="s">
        <v>61</v>
      </c>
      <c r="RAQ134" t="s">
        <v>61</v>
      </c>
      <c r="RAR134" t="s">
        <v>61</v>
      </c>
      <c r="RAS134" t="s">
        <v>61</v>
      </c>
      <c r="RAT134" t="s">
        <v>61</v>
      </c>
      <c r="RAU134" t="s">
        <v>61</v>
      </c>
      <c r="RAV134" t="s">
        <v>61</v>
      </c>
      <c r="RAW134" t="s">
        <v>61</v>
      </c>
      <c r="RAX134" t="s">
        <v>61</v>
      </c>
      <c r="RAY134" t="s">
        <v>61</v>
      </c>
      <c r="RAZ134" t="s">
        <v>61</v>
      </c>
      <c r="RBA134" t="s">
        <v>61</v>
      </c>
      <c r="RBB134" t="s">
        <v>61</v>
      </c>
      <c r="RBC134" t="s">
        <v>61</v>
      </c>
      <c r="RBD134" t="s">
        <v>61</v>
      </c>
      <c r="RBE134" t="s">
        <v>61</v>
      </c>
      <c r="RBF134" t="s">
        <v>61</v>
      </c>
      <c r="RBG134" t="s">
        <v>61</v>
      </c>
      <c r="RBH134" t="s">
        <v>61</v>
      </c>
      <c r="RBI134" t="s">
        <v>61</v>
      </c>
      <c r="RBJ134" t="s">
        <v>61</v>
      </c>
      <c r="RBK134" t="s">
        <v>61</v>
      </c>
      <c r="RBL134" t="s">
        <v>61</v>
      </c>
      <c r="RBM134" t="s">
        <v>61</v>
      </c>
      <c r="RBN134" t="s">
        <v>61</v>
      </c>
      <c r="RBO134" t="s">
        <v>61</v>
      </c>
      <c r="RBP134" t="s">
        <v>61</v>
      </c>
      <c r="RBQ134" t="s">
        <v>61</v>
      </c>
      <c r="RBR134" t="s">
        <v>61</v>
      </c>
      <c r="RBS134" t="s">
        <v>61</v>
      </c>
      <c r="RBT134" t="s">
        <v>61</v>
      </c>
      <c r="RBU134" t="s">
        <v>61</v>
      </c>
      <c r="RBV134" t="s">
        <v>61</v>
      </c>
      <c r="RBW134" t="s">
        <v>61</v>
      </c>
      <c r="RBX134" t="s">
        <v>61</v>
      </c>
      <c r="RBY134" t="s">
        <v>61</v>
      </c>
      <c r="RBZ134" t="s">
        <v>61</v>
      </c>
      <c r="RCA134" t="s">
        <v>61</v>
      </c>
      <c r="RCB134" t="s">
        <v>61</v>
      </c>
      <c r="RCC134" t="s">
        <v>61</v>
      </c>
      <c r="RCD134" t="s">
        <v>61</v>
      </c>
      <c r="RCE134" t="s">
        <v>61</v>
      </c>
      <c r="RCF134" t="s">
        <v>61</v>
      </c>
      <c r="RCG134" t="s">
        <v>61</v>
      </c>
      <c r="RCH134" t="s">
        <v>61</v>
      </c>
      <c r="RCI134" t="s">
        <v>61</v>
      </c>
      <c r="RCJ134" t="s">
        <v>61</v>
      </c>
      <c r="RCK134" t="s">
        <v>61</v>
      </c>
      <c r="RCL134" t="s">
        <v>61</v>
      </c>
      <c r="RCM134" t="s">
        <v>61</v>
      </c>
      <c r="RCN134" t="s">
        <v>61</v>
      </c>
      <c r="RCO134" t="s">
        <v>61</v>
      </c>
      <c r="RCP134" t="s">
        <v>61</v>
      </c>
      <c r="RCQ134" t="s">
        <v>61</v>
      </c>
      <c r="RCR134" t="s">
        <v>61</v>
      </c>
      <c r="RCS134" t="s">
        <v>61</v>
      </c>
      <c r="RCT134" t="s">
        <v>61</v>
      </c>
      <c r="RCU134" t="s">
        <v>61</v>
      </c>
      <c r="RCV134" t="s">
        <v>61</v>
      </c>
      <c r="RCW134" t="s">
        <v>61</v>
      </c>
      <c r="RCX134" t="s">
        <v>61</v>
      </c>
      <c r="RCY134" t="s">
        <v>61</v>
      </c>
      <c r="RCZ134" t="s">
        <v>61</v>
      </c>
      <c r="RDA134" t="s">
        <v>61</v>
      </c>
      <c r="RDB134" t="s">
        <v>61</v>
      </c>
      <c r="RDC134" t="s">
        <v>61</v>
      </c>
      <c r="RDD134" t="s">
        <v>61</v>
      </c>
      <c r="RDE134" t="s">
        <v>61</v>
      </c>
      <c r="RDF134" t="s">
        <v>61</v>
      </c>
      <c r="RDG134" t="s">
        <v>61</v>
      </c>
      <c r="RDH134" t="s">
        <v>61</v>
      </c>
      <c r="RDI134" t="s">
        <v>61</v>
      </c>
      <c r="RDJ134" t="s">
        <v>61</v>
      </c>
      <c r="RDK134" t="s">
        <v>61</v>
      </c>
      <c r="RDL134" t="s">
        <v>61</v>
      </c>
      <c r="RDM134" t="s">
        <v>61</v>
      </c>
      <c r="RDN134" t="s">
        <v>61</v>
      </c>
      <c r="RDO134" t="s">
        <v>61</v>
      </c>
      <c r="RDP134" t="s">
        <v>61</v>
      </c>
      <c r="RDQ134" t="s">
        <v>61</v>
      </c>
      <c r="RDR134" t="s">
        <v>61</v>
      </c>
      <c r="RDS134" t="s">
        <v>61</v>
      </c>
      <c r="RDT134" t="s">
        <v>61</v>
      </c>
      <c r="RDU134" t="s">
        <v>61</v>
      </c>
      <c r="RDV134" t="s">
        <v>61</v>
      </c>
      <c r="RDW134" t="s">
        <v>61</v>
      </c>
      <c r="RDX134" t="s">
        <v>61</v>
      </c>
      <c r="RDY134" t="s">
        <v>61</v>
      </c>
      <c r="RDZ134" t="s">
        <v>61</v>
      </c>
      <c r="REA134" t="s">
        <v>61</v>
      </c>
      <c r="REB134" t="s">
        <v>61</v>
      </c>
      <c r="REC134" t="s">
        <v>61</v>
      </c>
      <c r="RED134" t="s">
        <v>61</v>
      </c>
      <c r="REE134" t="s">
        <v>61</v>
      </c>
      <c r="REF134" t="s">
        <v>61</v>
      </c>
      <c r="REG134" t="s">
        <v>61</v>
      </c>
      <c r="REH134" t="s">
        <v>61</v>
      </c>
      <c r="REI134" t="s">
        <v>61</v>
      </c>
      <c r="REJ134" t="s">
        <v>61</v>
      </c>
      <c r="REK134" t="s">
        <v>61</v>
      </c>
      <c r="REL134" t="s">
        <v>61</v>
      </c>
      <c r="REM134" t="s">
        <v>61</v>
      </c>
      <c r="REN134" t="s">
        <v>61</v>
      </c>
      <c r="REO134" t="s">
        <v>61</v>
      </c>
      <c r="REP134" t="s">
        <v>61</v>
      </c>
      <c r="REQ134" t="s">
        <v>61</v>
      </c>
      <c r="RER134" t="s">
        <v>61</v>
      </c>
      <c r="RES134" t="s">
        <v>61</v>
      </c>
      <c r="RET134" t="s">
        <v>61</v>
      </c>
      <c r="REU134" t="s">
        <v>61</v>
      </c>
      <c r="REV134" t="s">
        <v>61</v>
      </c>
      <c r="REW134" t="s">
        <v>61</v>
      </c>
      <c r="REX134" t="s">
        <v>61</v>
      </c>
      <c r="REY134" t="s">
        <v>61</v>
      </c>
      <c r="REZ134" t="s">
        <v>61</v>
      </c>
      <c r="RFA134" t="s">
        <v>61</v>
      </c>
      <c r="RFB134" t="s">
        <v>61</v>
      </c>
      <c r="RFC134" t="s">
        <v>61</v>
      </c>
      <c r="RFD134" t="s">
        <v>61</v>
      </c>
      <c r="RFE134" t="s">
        <v>61</v>
      </c>
      <c r="RFF134" t="s">
        <v>61</v>
      </c>
      <c r="RFG134" t="s">
        <v>61</v>
      </c>
      <c r="RFH134" t="s">
        <v>61</v>
      </c>
      <c r="RFI134" t="s">
        <v>61</v>
      </c>
      <c r="RFJ134" t="s">
        <v>61</v>
      </c>
      <c r="RFK134" t="s">
        <v>61</v>
      </c>
      <c r="RFL134" t="s">
        <v>61</v>
      </c>
      <c r="RFM134" t="s">
        <v>61</v>
      </c>
      <c r="RFN134" t="s">
        <v>61</v>
      </c>
      <c r="RFO134" t="s">
        <v>61</v>
      </c>
      <c r="RFP134" t="s">
        <v>61</v>
      </c>
      <c r="RFQ134" t="s">
        <v>61</v>
      </c>
      <c r="RFR134" t="s">
        <v>61</v>
      </c>
      <c r="RFS134" t="s">
        <v>61</v>
      </c>
      <c r="RFT134" t="s">
        <v>61</v>
      </c>
      <c r="RFU134" t="s">
        <v>61</v>
      </c>
      <c r="RFV134" t="s">
        <v>61</v>
      </c>
      <c r="RFW134" t="s">
        <v>61</v>
      </c>
      <c r="RFX134" t="s">
        <v>61</v>
      </c>
      <c r="RFY134" t="s">
        <v>61</v>
      </c>
      <c r="RFZ134" t="s">
        <v>61</v>
      </c>
      <c r="RGA134" t="s">
        <v>61</v>
      </c>
      <c r="RGB134" t="s">
        <v>61</v>
      </c>
      <c r="RGC134" t="s">
        <v>61</v>
      </c>
      <c r="RGD134" t="s">
        <v>61</v>
      </c>
      <c r="RGE134" t="s">
        <v>61</v>
      </c>
      <c r="RGF134" t="s">
        <v>61</v>
      </c>
      <c r="RGG134" t="s">
        <v>61</v>
      </c>
      <c r="RGH134" t="s">
        <v>61</v>
      </c>
      <c r="RGI134" t="s">
        <v>61</v>
      </c>
      <c r="RGJ134" t="s">
        <v>61</v>
      </c>
      <c r="RGK134" t="s">
        <v>61</v>
      </c>
      <c r="RGL134" t="s">
        <v>61</v>
      </c>
      <c r="RGM134" t="s">
        <v>61</v>
      </c>
      <c r="RGN134" t="s">
        <v>61</v>
      </c>
      <c r="RGO134" t="s">
        <v>61</v>
      </c>
      <c r="RGP134" t="s">
        <v>61</v>
      </c>
      <c r="RGQ134" t="s">
        <v>61</v>
      </c>
      <c r="RGR134" t="s">
        <v>61</v>
      </c>
      <c r="RGS134" t="s">
        <v>61</v>
      </c>
      <c r="RGT134" t="s">
        <v>61</v>
      </c>
      <c r="RGU134" t="s">
        <v>61</v>
      </c>
      <c r="RGV134" t="s">
        <v>61</v>
      </c>
      <c r="RGW134" t="s">
        <v>61</v>
      </c>
      <c r="RGX134" t="s">
        <v>61</v>
      </c>
      <c r="RGY134" t="s">
        <v>61</v>
      </c>
      <c r="RGZ134" t="s">
        <v>61</v>
      </c>
      <c r="RHA134" t="s">
        <v>61</v>
      </c>
      <c r="RHB134" t="s">
        <v>61</v>
      </c>
      <c r="RHC134" t="s">
        <v>61</v>
      </c>
      <c r="RHD134" t="s">
        <v>61</v>
      </c>
      <c r="RHE134" t="s">
        <v>61</v>
      </c>
      <c r="RHF134" t="s">
        <v>61</v>
      </c>
      <c r="RHG134" t="s">
        <v>61</v>
      </c>
      <c r="RHH134" t="s">
        <v>61</v>
      </c>
      <c r="RHI134" t="s">
        <v>61</v>
      </c>
      <c r="RHJ134" t="s">
        <v>61</v>
      </c>
      <c r="RHK134" t="s">
        <v>61</v>
      </c>
      <c r="RHL134" t="s">
        <v>61</v>
      </c>
      <c r="RHM134" t="s">
        <v>61</v>
      </c>
      <c r="RHN134" t="s">
        <v>61</v>
      </c>
      <c r="RHO134" t="s">
        <v>61</v>
      </c>
      <c r="RHP134" t="s">
        <v>61</v>
      </c>
      <c r="RHQ134" t="s">
        <v>61</v>
      </c>
      <c r="RHR134" t="s">
        <v>61</v>
      </c>
      <c r="RHS134" t="s">
        <v>61</v>
      </c>
      <c r="RHT134" t="s">
        <v>61</v>
      </c>
      <c r="RHU134" t="s">
        <v>61</v>
      </c>
      <c r="RHV134" t="s">
        <v>61</v>
      </c>
      <c r="RHW134" t="s">
        <v>61</v>
      </c>
      <c r="RHX134" t="s">
        <v>61</v>
      </c>
      <c r="RHY134" t="s">
        <v>61</v>
      </c>
      <c r="RHZ134" t="s">
        <v>61</v>
      </c>
      <c r="RIA134" t="s">
        <v>61</v>
      </c>
      <c r="RIB134" t="s">
        <v>61</v>
      </c>
      <c r="RIC134" t="s">
        <v>61</v>
      </c>
      <c r="RID134" t="s">
        <v>61</v>
      </c>
      <c r="RIE134" t="s">
        <v>61</v>
      </c>
      <c r="RIF134" t="s">
        <v>61</v>
      </c>
      <c r="RIG134" t="s">
        <v>61</v>
      </c>
      <c r="RIH134" t="s">
        <v>61</v>
      </c>
      <c r="RII134" t="s">
        <v>61</v>
      </c>
      <c r="RIJ134" t="s">
        <v>61</v>
      </c>
      <c r="RIK134" t="s">
        <v>61</v>
      </c>
      <c r="RIL134" t="s">
        <v>61</v>
      </c>
      <c r="RIM134" t="s">
        <v>61</v>
      </c>
      <c r="RIN134" t="s">
        <v>61</v>
      </c>
      <c r="RIO134" t="s">
        <v>61</v>
      </c>
      <c r="RIP134" t="s">
        <v>61</v>
      </c>
      <c r="RIQ134" t="s">
        <v>61</v>
      </c>
      <c r="RIR134" t="s">
        <v>61</v>
      </c>
      <c r="RIS134" t="s">
        <v>61</v>
      </c>
      <c r="RIT134" t="s">
        <v>61</v>
      </c>
      <c r="RIU134" t="s">
        <v>61</v>
      </c>
      <c r="RIV134" t="s">
        <v>61</v>
      </c>
      <c r="RIW134" t="s">
        <v>61</v>
      </c>
      <c r="RIX134" t="s">
        <v>61</v>
      </c>
      <c r="RIY134" t="s">
        <v>61</v>
      </c>
      <c r="RIZ134" t="s">
        <v>61</v>
      </c>
      <c r="RJA134" t="s">
        <v>61</v>
      </c>
      <c r="RJB134" t="s">
        <v>61</v>
      </c>
      <c r="RJC134" t="s">
        <v>61</v>
      </c>
      <c r="RJD134" t="s">
        <v>61</v>
      </c>
      <c r="RJE134" t="s">
        <v>61</v>
      </c>
      <c r="RJF134" t="s">
        <v>61</v>
      </c>
      <c r="RJG134" t="s">
        <v>61</v>
      </c>
      <c r="RJH134" t="s">
        <v>61</v>
      </c>
      <c r="RJI134" t="s">
        <v>61</v>
      </c>
      <c r="RJJ134" t="s">
        <v>61</v>
      </c>
      <c r="RJK134" t="s">
        <v>61</v>
      </c>
      <c r="RJL134" t="s">
        <v>61</v>
      </c>
      <c r="RJM134" t="s">
        <v>61</v>
      </c>
      <c r="RJN134" t="s">
        <v>61</v>
      </c>
      <c r="RJO134" t="s">
        <v>61</v>
      </c>
      <c r="RJP134" t="s">
        <v>61</v>
      </c>
      <c r="RJQ134" t="s">
        <v>61</v>
      </c>
      <c r="RJR134" t="s">
        <v>61</v>
      </c>
      <c r="RJS134" t="s">
        <v>61</v>
      </c>
      <c r="RJT134" t="s">
        <v>61</v>
      </c>
      <c r="RJU134" t="s">
        <v>61</v>
      </c>
      <c r="RJV134" t="s">
        <v>61</v>
      </c>
      <c r="RJW134" t="s">
        <v>61</v>
      </c>
      <c r="RJX134" t="s">
        <v>61</v>
      </c>
      <c r="RJY134" t="s">
        <v>61</v>
      </c>
      <c r="RJZ134" t="s">
        <v>61</v>
      </c>
      <c r="RKA134" t="s">
        <v>61</v>
      </c>
      <c r="RKB134" t="s">
        <v>61</v>
      </c>
      <c r="RKC134" t="s">
        <v>61</v>
      </c>
      <c r="RKD134" t="s">
        <v>61</v>
      </c>
      <c r="RKE134" t="s">
        <v>61</v>
      </c>
      <c r="RKF134" t="s">
        <v>61</v>
      </c>
      <c r="RKG134" t="s">
        <v>61</v>
      </c>
      <c r="RKH134" t="s">
        <v>61</v>
      </c>
      <c r="RKI134" t="s">
        <v>61</v>
      </c>
      <c r="RKJ134" t="s">
        <v>61</v>
      </c>
      <c r="RKK134" t="s">
        <v>61</v>
      </c>
      <c r="RKL134" t="s">
        <v>61</v>
      </c>
      <c r="RKM134" t="s">
        <v>61</v>
      </c>
      <c r="RKN134" t="s">
        <v>61</v>
      </c>
      <c r="RKO134" t="s">
        <v>61</v>
      </c>
      <c r="RKP134" t="s">
        <v>61</v>
      </c>
      <c r="RKQ134" t="s">
        <v>61</v>
      </c>
      <c r="RKR134" t="s">
        <v>61</v>
      </c>
      <c r="RKS134" t="s">
        <v>61</v>
      </c>
      <c r="RKT134" t="s">
        <v>61</v>
      </c>
      <c r="RKU134" t="s">
        <v>61</v>
      </c>
      <c r="RKV134" t="s">
        <v>61</v>
      </c>
      <c r="RKW134" t="s">
        <v>61</v>
      </c>
      <c r="RKX134" t="s">
        <v>61</v>
      </c>
      <c r="RKY134" t="s">
        <v>61</v>
      </c>
      <c r="RKZ134" t="s">
        <v>61</v>
      </c>
      <c r="RLA134" t="s">
        <v>61</v>
      </c>
      <c r="RLB134" t="s">
        <v>61</v>
      </c>
      <c r="RLC134" t="s">
        <v>61</v>
      </c>
      <c r="RLD134" t="s">
        <v>61</v>
      </c>
      <c r="RLE134" t="s">
        <v>61</v>
      </c>
      <c r="RLF134" t="s">
        <v>61</v>
      </c>
      <c r="RLG134" t="s">
        <v>61</v>
      </c>
      <c r="RLH134" t="s">
        <v>61</v>
      </c>
      <c r="RLI134" t="s">
        <v>61</v>
      </c>
      <c r="RLJ134" t="s">
        <v>61</v>
      </c>
      <c r="RLK134" t="s">
        <v>61</v>
      </c>
      <c r="RLL134" t="s">
        <v>61</v>
      </c>
      <c r="RLM134" t="s">
        <v>61</v>
      </c>
      <c r="RLN134" t="s">
        <v>61</v>
      </c>
      <c r="RLO134" t="s">
        <v>61</v>
      </c>
      <c r="RLP134" t="s">
        <v>61</v>
      </c>
      <c r="RLQ134" t="s">
        <v>61</v>
      </c>
      <c r="RLR134" t="s">
        <v>61</v>
      </c>
      <c r="RLS134" t="s">
        <v>61</v>
      </c>
      <c r="RLT134" t="s">
        <v>61</v>
      </c>
      <c r="RLU134" t="s">
        <v>61</v>
      </c>
      <c r="RLV134" t="s">
        <v>61</v>
      </c>
      <c r="RLW134" t="s">
        <v>61</v>
      </c>
      <c r="RLX134" t="s">
        <v>61</v>
      </c>
      <c r="RLY134" t="s">
        <v>61</v>
      </c>
      <c r="RLZ134" t="s">
        <v>61</v>
      </c>
      <c r="RMA134" t="s">
        <v>61</v>
      </c>
      <c r="RMB134" t="s">
        <v>61</v>
      </c>
      <c r="RMC134" t="s">
        <v>61</v>
      </c>
      <c r="RMD134" t="s">
        <v>61</v>
      </c>
      <c r="RME134" t="s">
        <v>61</v>
      </c>
      <c r="RMF134" t="s">
        <v>61</v>
      </c>
      <c r="RMG134" t="s">
        <v>61</v>
      </c>
      <c r="RMH134" t="s">
        <v>61</v>
      </c>
      <c r="RMI134" t="s">
        <v>61</v>
      </c>
      <c r="RMJ134" t="s">
        <v>61</v>
      </c>
      <c r="RMK134" t="s">
        <v>61</v>
      </c>
      <c r="RML134" t="s">
        <v>61</v>
      </c>
      <c r="RMM134" t="s">
        <v>61</v>
      </c>
      <c r="RMN134" t="s">
        <v>61</v>
      </c>
      <c r="RMO134" t="s">
        <v>61</v>
      </c>
      <c r="RMP134" t="s">
        <v>61</v>
      </c>
      <c r="RMQ134" t="s">
        <v>61</v>
      </c>
      <c r="RMR134" t="s">
        <v>61</v>
      </c>
      <c r="RMS134" t="s">
        <v>61</v>
      </c>
      <c r="RMT134" t="s">
        <v>61</v>
      </c>
      <c r="RMU134" t="s">
        <v>61</v>
      </c>
      <c r="RMV134" t="s">
        <v>61</v>
      </c>
      <c r="RMW134" t="s">
        <v>61</v>
      </c>
      <c r="RMX134" t="s">
        <v>61</v>
      </c>
      <c r="RMY134" t="s">
        <v>61</v>
      </c>
      <c r="RMZ134" t="s">
        <v>61</v>
      </c>
      <c r="RNA134" t="s">
        <v>61</v>
      </c>
      <c r="RNB134" t="s">
        <v>61</v>
      </c>
      <c r="RNC134" t="s">
        <v>61</v>
      </c>
      <c r="RND134" t="s">
        <v>61</v>
      </c>
      <c r="RNE134" t="s">
        <v>61</v>
      </c>
      <c r="RNF134" t="s">
        <v>61</v>
      </c>
      <c r="RNG134" t="s">
        <v>61</v>
      </c>
      <c r="RNH134" t="s">
        <v>61</v>
      </c>
      <c r="RNI134" t="s">
        <v>61</v>
      </c>
      <c r="RNJ134" t="s">
        <v>61</v>
      </c>
      <c r="RNK134" t="s">
        <v>61</v>
      </c>
      <c r="RNL134" t="s">
        <v>61</v>
      </c>
      <c r="RNM134" t="s">
        <v>61</v>
      </c>
      <c r="RNN134" t="s">
        <v>61</v>
      </c>
      <c r="RNO134" t="s">
        <v>61</v>
      </c>
      <c r="RNP134" t="s">
        <v>61</v>
      </c>
      <c r="RNQ134" t="s">
        <v>61</v>
      </c>
      <c r="RNR134" t="s">
        <v>61</v>
      </c>
      <c r="RNS134" t="s">
        <v>61</v>
      </c>
      <c r="RNT134" t="s">
        <v>61</v>
      </c>
      <c r="RNU134" t="s">
        <v>61</v>
      </c>
      <c r="RNV134" t="s">
        <v>61</v>
      </c>
      <c r="RNW134" t="s">
        <v>61</v>
      </c>
      <c r="RNX134" t="s">
        <v>61</v>
      </c>
      <c r="RNY134" t="s">
        <v>61</v>
      </c>
      <c r="RNZ134" t="s">
        <v>61</v>
      </c>
      <c r="ROA134" t="s">
        <v>61</v>
      </c>
      <c r="ROB134" t="s">
        <v>61</v>
      </c>
      <c r="ROC134" t="s">
        <v>61</v>
      </c>
      <c r="ROD134" t="s">
        <v>61</v>
      </c>
      <c r="ROE134" t="s">
        <v>61</v>
      </c>
      <c r="ROF134" t="s">
        <v>61</v>
      </c>
      <c r="ROG134" t="s">
        <v>61</v>
      </c>
      <c r="ROH134" t="s">
        <v>61</v>
      </c>
      <c r="ROI134" t="s">
        <v>61</v>
      </c>
      <c r="ROJ134" t="s">
        <v>61</v>
      </c>
      <c r="ROK134" t="s">
        <v>61</v>
      </c>
      <c r="ROL134" t="s">
        <v>61</v>
      </c>
      <c r="ROM134" t="s">
        <v>61</v>
      </c>
      <c r="RON134" t="s">
        <v>61</v>
      </c>
      <c r="ROO134" t="s">
        <v>61</v>
      </c>
      <c r="ROP134" t="s">
        <v>61</v>
      </c>
      <c r="ROQ134" t="s">
        <v>61</v>
      </c>
      <c r="ROR134" t="s">
        <v>61</v>
      </c>
      <c r="ROS134" t="s">
        <v>61</v>
      </c>
      <c r="ROT134" t="s">
        <v>61</v>
      </c>
      <c r="ROU134" t="s">
        <v>61</v>
      </c>
      <c r="ROV134" t="s">
        <v>61</v>
      </c>
      <c r="ROW134" t="s">
        <v>61</v>
      </c>
      <c r="ROX134" t="s">
        <v>61</v>
      </c>
      <c r="ROY134" t="s">
        <v>61</v>
      </c>
      <c r="ROZ134" t="s">
        <v>61</v>
      </c>
      <c r="RPA134" t="s">
        <v>61</v>
      </c>
      <c r="RPB134" t="s">
        <v>61</v>
      </c>
      <c r="RPC134" t="s">
        <v>61</v>
      </c>
      <c r="RPD134" t="s">
        <v>61</v>
      </c>
      <c r="RPE134" t="s">
        <v>61</v>
      </c>
      <c r="RPF134" t="s">
        <v>61</v>
      </c>
      <c r="RPG134" t="s">
        <v>61</v>
      </c>
      <c r="RPH134" t="s">
        <v>61</v>
      </c>
      <c r="RPI134" t="s">
        <v>61</v>
      </c>
      <c r="RPJ134" t="s">
        <v>61</v>
      </c>
      <c r="RPK134" t="s">
        <v>61</v>
      </c>
      <c r="RPL134" t="s">
        <v>61</v>
      </c>
      <c r="RPM134" t="s">
        <v>61</v>
      </c>
      <c r="RPN134" t="s">
        <v>61</v>
      </c>
      <c r="RPO134" t="s">
        <v>61</v>
      </c>
      <c r="RPP134" t="s">
        <v>61</v>
      </c>
      <c r="RPQ134" t="s">
        <v>61</v>
      </c>
      <c r="RPR134" t="s">
        <v>61</v>
      </c>
      <c r="RPS134" t="s">
        <v>61</v>
      </c>
      <c r="RPT134" t="s">
        <v>61</v>
      </c>
      <c r="RPU134" t="s">
        <v>61</v>
      </c>
      <c r="RPV134" t="s">
        <v>61</v>
      </c>
      <c r="RPW134" t="s">
        <v>61</v>
      </c>
      <c r="RPX134" t="s">
        <v>61</v>
      </c>
      <c r="RPY134" t="s">
        <v>61</v>
      </c>
      <c r="RPZ134" t="s">
        <v>61</v>
      </c>
      <c r="RQA134" t="s">
        <v>61</v>
      </c>
      <c r="RQB134" t="s">
        <v>61</v>
      </c>
      <c r="RQC134" t="s">
        <v>61</v>
      </c>
      <c r="RQD134" t="s">
        <v>61</v>
      </c>
      <c r="RQE134" t="s">
        <v>61</v>
      </c>
      <c r="RQF134" t="s">
        <v>61</v>
      </c>
      <c r="RQG134" t="s">
        <v>61</v>
      </c>
      <c r="RQH134" t="s">
        <v>61</v>
      </c>
      <c r="RQI134" t="s">
        <v>61</v>
      </c>
      <c r="RQJ134" t="s">
        <v>61</v>
      </c>
      <c r="RQK134" t="s">
        <v>61</v>
      </c>
      <c r="RQL134" t="s">
        <v>61</v>
      </c>
      <c r="RQM134" t="s">
        <v>61</v>
      </c>
      <c r="RQN134" t="s">
        <v>61</v>
      </c>
      <c r="RQO134" t="s">
        <v>61</v>
      </c>
      <c r="RQP134" t="s">
        <v>61</v>
      </c>
      <c r="RQQ134" t="s">
        <v>61</v>
      </c>
      <c r="RQR134" t="s">
        <v>61</v>
      </c>
      <c r="RQS134" t="s">
        <v>61</v>
      </c>
      <c r="RQT134" t="s">
        <v>61</v>
      </c>
      <c r="RQU134" t="s">
        <v>61</v>
      </c>
      <c r="RQV134" t="s">
        <v>61</v>
      </c>
      <c r="RQW134" t="s">
        <v>61</v>
      </c>
      <c r="RQX134" t="s">
        <v>61</v>
      </c>
      <c r="RQY134" t="s">
        <v>61</v>
      </c>
      <c r="RQZ134" t="s">
        <v>61</v>
      </c>
      <c r="RRA134" t="s">
        <v>61</v>
      </c>
      <c r="RRB134" t="s">
        <v>61</v>
      </c>
      <c r="RRC134" t="s">
        <v>61</v>
      </c>
      <c r="RRD134" t="s">
        <v>61</v>
      </c>
      <c r="RRE134" t="s">
        <v>61</v>
      </c>
      <c r="RRF134" t="s">
        <v>61</v>
      </c>
      <c r="RRG134" t="s">
        <v>61</v>
      </c>
      <c r="RRH134" t="s">
        <v>61</v>
      </c>
      <c r="RRI134" t="s">
        <v>61</v>
      </c>
      <c r="RRJ134" t="s">
        <v>61</v>
      </c>
      <c r="RRK134" t="s">
        <v>61</v>
      </c>
      <c r="RRL134" t="s">
        <v>61</v>
      </c>
      <c r="RRM134" t="s">
        <v>61</v>
      </c>
      <c r="RRN134" t="s">
        <v>61</v>
      </c>
      <c r="RRO134" t="s">
        <v>61</v>
      </c>
      <c r="RRP134" t="s">
        <v>61</v>
      </c>
      <c r="RRQ134" t="s">
        <v>61</v>
      </c>
      <c r="RRR134" t="s">
        <v>61</v>
      </c>
      <c r="RRS134" t="s">
        <v>61</v>
      </c>
      <c r="RRT134" t="s">
        <v>61</v>
      </c>
      <c r="RRU134" t="s">
        <v>61</v>
      </c>
      <c r="RRV134" t="s">
        <v>61</v>
      </c>
      <c r="RRW134" t="s">
        <v>61</v>
      </c>
      <c r="RRX134" t="s">
        <v>61</v>
      </c>
      <c r="RRY134" t="s">
        <v>61</v>
      </c>
      <c r="RRZ134" t="s">
        <v>61</v>
      </c>
      <c r="RSA134" t="s">
        <v>61</v>
      </c>
      <c r="RSB134" t="s">
        <v>61</v>
      </c>
      <c r="RSC134" t="s">
        <v>61</v>
      </c>
      <c r="RSD134" t="s">
        <v>61</v>
      </c>
      <c r="RSE134" t="s">
        <v>61</v>
      </c>
      <c r="RSF134" t="s">
        <v>61</v>
      </c>
      <c r="RSG134" t="s">
        <v>61</v>
      </c>
      <c r="RSH134" t="s">
        <v>61</v>
      </c>
      <c r="RSI134" t="s">
        <v>61</v>
      </c>
      <c r="RSJ134" t="s">
        <v>61</v>
      </c>
      <c r="RSK134" t="s">
        <v>61</v>
      </c>
      <c r="RSL134" t="s">
        <v>61</v>
      </c>
      <c r="RSM134" t="s">
        <v>61</v>
      </c>
      <c r="RSN134" t="s">
        <v>61</v>
      </c>
      <c r="RSO134" t="s">
        <v>61</v>
      </c>
      <c r="RSP134" t="s">
        <v>61</v>
      </c>
      <c r="RSQ134" t="s">
        <v>61</v>
      </c>
      <c r="RSR134" t="s">
        <v>61</v>
      </c>
      <c r="RSS134" t="s">
        <v>61</v>
      </c>
      <c r="RST134" t="s">
        <v>61</v>
      </c>
      <c r="RSU134" t="s">
        <v>61</v>
      </c>
      <c r="RSV134" t="s">
        <v>61</v>
      </c>
      <c r="RSW134" t="s">
        <v>61</v>
      </c>
      <c r="RSX134" t="s">
        <v>61</v>
      </c>
      <c r="RSY134" t="s">
        <v>61</v>
      </c>
      <c r="RSZ134" t="s">
        <v>61</v>
      </c>
      <c r="RTA134" t="s">
        <v>61</v>
      </c>
      <c r="RTB134" t="s">
        <v>61</v>
      </c>
      <c r="RTC134" t="s">
        <v>61</v>
      </c>
      <c r="RTD134" t="s">
        <v>61</v>
      </c>
      <c r="RTE134" t="s">
        <v>61</v>
      </c>
      <c r="RTF134" t="s">
        <v>61</v>
      </c>
      <c r="RTG134" t="s">
        <v>61</v>
      </c>
      <c r="RTH134" t="s">
        <v>61</v>
      </c>
      <c r="RTI134" t="s">
        <v>61</v>
      </c>
      <c r="RTJ134" t="s">
        <v>61</v>
      </c>
      <c r="RTK134" t="s">
        <v>61</v>
      </c>
      <c r="RTL134" t="s">
        <v>61</v>
      </c>
      <c r="RTM134" t="s">
        <v>61</v>
      </c>
      <c r="RTN134" t="s">
        <v>61</v>
      </c>
      <c r="RTO134" t="s">
        <v>61</v>
      </c>
      <c r="RTP134" t="s">
        <v>61</v>
      </c>
      <c r="RTQ134" t="s">
        <v>61</v>
      </c>
      <c r="RTR134" t="s">
        <v>61</v>
      </c>
      <c r="RTS134" t="s">
        <v>61</v>
      </c>
      <c r="RTT134" t="s">
        <v>61</v>
      </c>
      <c r="RTU134" t="s">
        <v>61</v>
      </c>
      <c r="RTV134" t="s">
        <v>61</v>
      </c>
      <c r="RTW134" t="s">
        <v>61</v>
      </c>
      <c r="RTX134" t="s">
        <v>61</v>
      </c>
      <c r="RTY134" t="s">
        <v>61</v>
      </c>
      <c r="RTZ134" t="s">
        <v>61</v>
      </c>
      <c r="RUA134" t="s">
        <v>61</v>
      </c>
      <c r="RUB134" t="s">
        <v>61</v>
      </c>
      <c r="RUC134" t="s">
        <v>61</v>
      </c>
      <c r="RUD134" t="s">
        <v>61</v>
      </c>
      <c r="RUE134" t="s">
        <v>61</v>
      </c>
      <c r="RUF134" t="s">
        <v>61</v>
      </c>
      <c r="RUG134" t="s">
        <v>61</v>
      </c>
      <c r="RUH134" t="s">
        <v>61</v>
      </c>
      <c r="RUI134" t="s">
        <v>61</v>
      </c>
      <c r="RUJ134" t="s">
        <v>61</v>
      </c>
      <c r="RUK134" t="s">
        <v>61</v>
      </c>
      <c r="RUL134" t="s">
        <v>61</v>
      </c>
      <c r="RUM134" t="s">
        <v>61</v>
      </c>
      <c r="RUN134" t="s">
        <v>61</v>
      </c>
      <c r="RUO134" t="s">
        <v>61</v>
      </c>
      <c r="RUP134" t="s">
        <v>61</v>
      </c>
      <c r="RUQ134" t="s">
        <v>61</v>
      </c>
      <c r="RUR134" t="s">
        <v>61</v>
      </c>
      <c r="RUS134" t="s">
        <v>61</v>
      </c>
      <c r="RUT134" t="s">
        <v>61</v>
      </c>
      <c r="RUU134" t="s">
        <v>61</v>
      </c>
      <c r="RUV134" t="s">
        <v>61</v>
      </c>
      <c r="RUW134" t="s">
        <v>61</v>
      </c>
      <c r="RUX134" t="s">
        <v>61</v>
      </c>
      <c r="RUY134" t="s">
        <v>61</v>
      </c>
      <c r="RUZ134" t="s">
        <v>61</v>
      </c>
      <c r="RVA134" t="s">
        <v>61</v>
      </c>
      <c r="RVB134" t="s">
        <v>61</v>
      </c>
      <c r="RVC134" t="s">
        <v>61</v>
      </c>
      <c r="RVD134" t="s">
        <v>61</v>
      </c>
      <c r="RVE134" t="s">
        <v>61</v>
      </c>
      <c r="RVF134" t="s">
        <v>61</v>
      </c>
      <c r="RVG134" t="s">
        <v>61</v>
      </c>
      <c r="RVH134" t="s">
        <v>61</v>
      </c>
      <c r="RVI134" t="s">
        <v>61</v>
      </c>
      <c r="RVJ134" t="s">
        <v>61</v>
      </c>
      <c r="RVK134" t="s">
        <v>61</v>
      </c>
      <c r="RVL134" t="s">
        <v>61</v>
      </c>
      <c r="RVM134" t="s">
        <v>61</v>
      </c>
      <c r="RVN134" t="s">
        <v>61</v>
      </c>
      <c r="RVO134" t="s">
        <v>61</v>
      </c>
      <c r="RVP134" t="s">
        <v>61</v>
      </c>
      <c r="RVQ134" t="s">
        <v>61</v>
      </c>
      <c r="RVR134" t="s">
        <v>61</v>
      </c>
      <c r="RVS134" t="s">
        <v>61</v>
      </c>
      <c r="RVT134" t="s">
        <v>61</v>
      </c>
      <c r="RVU134" t="s">
        <v>61</v>
      </c>
      <c r="RVV134" t="s">
        <v>61</v>
      </c>
      <c r="RVW134" t="s">
        <v>61</v>
      </c>
      <c r="RVX134" t="s">
        <v>61</v>
      </c>
      <c r="RVY134" t="s">
        <v>61</v>
      </c>
      <c r="RVZ134" t="s">
        <v>61</v>
      </c>
      <c r="RWA134" t="s">
        <v>61</v>
      </c>
      <c r="RWB134" t="s">
        <v>61</v>
      </c>
      <c r="RWC134" t="s">
        <v>61</v>
      </c>
      <c r="RWD134" t="s">
        <v>61</v>
      </c>
      <c r="RWE134" t="s">
        <v>61</v>
      </c>
      <c r="RWF134" t="s">
        <v>61</v>
      </c>
      <c r="RWG134" t="s">
        <v>61</v>
      </c>
      <c r="RWH134" t="s">
        <v>61</v>
      </c>
      <c r="RWI134" t="s">
        <v>61</v>
      </c>
      <c r="RWJ134" t="s">
        <v>61</v>
      </c>
      <c r="RWK134" t="s">
        <v>61</v>
      </c>
      <c r="RWL134" t="s">
        <v>61</v>
      </c>
      <c r="RWM134" t="s">
        <v>61</v>
      </c>
      <c r="RWN134" t="s">
        <v>61</v>
      </c>
      <c r="RWO134" t="s">
        <v>61</v>
      </c>
      <c r="RWP134" t="s">
        <v>61</v>
      </c>
      <c r="RWQ134" t="s">
        <v>61</v>
      </c>
      <c r="RWR134" t="s">
        <v>61</v>
      </c>
      <c r="RWS134" t="s">
        <v>61</v>
      </c>
      <c r="RWT134" t="s">
        <v>61</v>
      </c>
      <c r="RWU134" t="s">
        <v>61</v>
      </c>
      <c r="RWV134" t="s">
        <v>61</v>
      </c>
      <c r="RWW134" t="s">
        <v>61</v>
      </c>
      <c r="RWX134" t="s">
        <v>61</v>
      </c>
      <c r="RWY134" t="s">
        <v>61</v>
      </c>
      <c r="RWZ134" t="s">
        <v>61</v>
      </c>
      <c r="RXA134" t="s">
        <v>61</v>
      </c>
      <c r="RXB134" t="s">
        <v>61</v>
      </c>
      <c r="RXC134" t="s">
        <v>61</v>
      </c>
      <c r="RXD134" t="s">
        <v>61</v>
      </c>
      <c r="RXE134" t="s">
        <v>61</v>
      </c>
      <c r="RXF134" t="s">
        <v>61</v>
      </c>
      <c r="RXG134" t="s">
        <v>61</v>
      </c>
      <c r="RXH134" t="s">
        <v>61</v>
      </c>
      <c r="RXI134" t="s">
        <v>61</v>
      </c>
      <c r="RXJ134" t="s">
        <v>61</v>
      </c>
      <c r="RXK134" t="s">
        <v>61</v>
      </c>
      <c r="RXL134" t="s">
        <v>61</v>
      </c>
      <c r="RXM134" t="s">
        <v>61</v>
      </c>
      <c r="RXN134" t="s">
        <v>61</v>
      </c>
      <c r="RXO134" t="s">
        <v>61</v>
      </c>
      <c r="RXP134" t="s">
        <v>61</v>
      </c>
      <c r="RXQ134" t="s">
        <v>61</v>
      </c>
      <c r="RXR134" t="s">
        <v>61</v>
      </c>
      <c r="RXS134" t="s">
        <v>61</v>
      </c>
      <c r="RXT134" t="s">
        <v>61</v>
      </c>
      <c r="RXU134" t="s">
        <v>61</v>
      </c>
      <c r="RXV134" t="s">
        <v>61</v>
      </c>
      <c r="RXW134" t="s">
        <v>61</v>
      </c>
      <c r="RXX134" t="s">
        <v>61</v>
      </c>
      <c r="RXY134" t="s">
        <v>61</v>
      </c>
      <c r="RXZ134" t="s">
        <v>61</v>
      </c>
      <c r="RYA134" t="s">
        <v>61</v>
      </c>
      <c r="RYB134" t="s">
        <v>61</v>
      </c>
      <c r="RYC134" t="s">
        <v>61</v>
      </c>
      <c r="RYD134" t="s">
        <v>61</v>
      </c>
      <c r="RYE134" t="s">
        <v>61</v>
      </c>
      <c r="RYF134" t="s">
        <v>61</v>
      </c>
      <c r="RYG134" t="s">
        <v>61</v>
      </c>
      <c r="RYH134" t="s">
        <v>61</v>
      </c>
      <c r="RYI134" t="s">
        <v>61</v>
      </c>
      <c r="RYJ134" t="s">
        <v>61</v>
      </c>
      <c r="RYK134" t="s">
        <v>61</v>
      </c>
      <c r="RYL134" t="s">
        <v>61</v>
      </c>
      <c r="RYM134" t="s">
        <v>61</v>
      </c>
      <c r="RYN134" t="s">
        <v>61</v>
      </c>
      <c r="RYO134" t="s">
        <v>61</v>
      </c>
      <c r="RYP134" t="s">
        <v>61</v>
      </c>
      <c r="RYQ134" t="s">
        <v>61</v>
      </c>
      <c r="RYR134" t="s">
        <v>61</v>
      </c>
      <c r="RYS134" t="s">
        <v>61</v>
      </c>
      <c r="RYT134" t="s">
        <v>61</v>
      </c>
      <c r="RYU134" t="s">
        <v>61</v>
      </c>
      <c r="RYV134" t="s">
        <v>61</v>
      </c>
      <c r="RYW134" t="s">
        <v>61</v>
      </c>
      <c r="RYX134" t="s">
        <v>61</v>
      </c>
      <c r="RYY134" t="s">
        <v>61</v>
      </c>
      <c r="RYZ134" t="s">
        <v>61</v>
      </c>
      <c r="RZA134" t="s">
        <v>61</v>
      </c>
      <c r="RZB134" t="s">
        <v>61</v>
      </c>
      <c r="RZC134" t="s">
        <v>61</v>
      </c>
      <c r="RZD134" t="s">
        <v>61</v>
      </c>
      <c r="RZE134" t="s">
        <v>61</v>
      </c>
      <c r="RZF134" t="s">
        <v>61</v>
      </c>
      <c r="RZG134" t="s">
        <v>61</v>
      </c>
      <c r="RZH134" t="s">
        <v>61</v>
      </c>
      <c r="RZI134" t="s">
        <v>61</v>
      </c>
      <c r="RZJ134" t="s">
        <v>61</v>
      </c>
      <c r="RZK134" t="s">
        <v>61</v>
      </c>
      <c r="RZL134" t="s">
        <v>61</v>
      </c>
      <c r="RZM134" t="s">
        <v>61</v>
      </c>
      <c r="RZN134" t="s">
        <v>61</v>
      </c>
      <c r="RZO134" t="s">
        <v>61</v>
      </c>
      <c r="RZP134" t="s">
        <v>61</v>
      </c>
      <c r="RZQ134" t="s">
        <v>61</v>
      </c>
      <c r="RZR134" t="s">
        <v>61</v>
      </c>
      <c r="RZS134" t="s">
        <v>61</v>
      </c>
      <c r="RZT134" t="s">
        <v>61</v>
      </c>
      <c r="RZU134" t="s">
        <v>61</v>
      </c>
      <c r="RZV134" t="s">
        <v>61</v>
      </c>
      <c r="RZW134" t="s">
        <v>61</v>
      </c>
      <c r="RZX134" t="s">
        <v>61</v>
      </c>
      <c r="RZY134" t="s">
        <v>61</v>
      </c>
      <c r="RZZ134" t="s">
        <v>61</v>
      </c>
      <c r="SAA134" t="s">
        <v>61</v>
      </c>
      <c r="SAB134" t="s">
        <v>61</v>
      </c>
      <c r="SAC134" t="s">
        <v>61</v>
      </c>
      <c r="SAD134" t="s">
        <v>61</v>
      </c>
      <c r="SAE134" t="s">
        <v>61</v>
      </c>
      <c r="SAF134" t="s">
        <v>61</v>
      </c>
      <c r="SAG134" t="s">
        <v>61</v>
      </c>
      <c r="SAH134" t="s">
        <v>61</v>
      </c>
      <c r="SAI134" t="s">
        <v>61</v>
      </c>
      <c r="SAJ134" t="s">
        <v>61</v>
      </c>
      <c r="SAK134" t="s">
        <v>61</v>
      </c>
      <c r="SAL134" t="s">
        <v>61</v>
      </c>
      <c r="SAM134" t="s">
        <v>61</v>
      </c>
      <c r="SAN134" t="s">
        <v>61</v>
      </c>
      <c r="SAO134" t="s">
        <v>61</v>
      </c>
      <c r="SAP134" t="s">
        <v>61</v>
      </c>
      <c r="SAQ134" t="s">
        <v>61</v>
      </c>
      <c r="SAR134" t="s">
        <v>61</v>
      </c>
      <c r="SAS134" t="s">
        <v>61</v>
      </c>
      <c r="SAT134" t="s">
        <v>61</v>
      </c>
      <c r="SAU134" t="s">
        <v>61</v>
      </c>
      <c r="SAV134" t="s">
        <v>61</v>
      </c>
      <c r="SAW134" t="s">
        <v>61</v>
      </c>
      <c r="SAX134" t="s">
        <v>61</v>
      </c>
      <c r="SAY134" t="s">
        <v>61</v>
      </c>
      <c r="SAZ134" t="s">
        <v>61</v>
      </c>
      <c r="SBA134" t="s">
        <v>61</v>
      </c>
      <c r="SBB134" t="s">
        <v>61</v>
      </c>
      <c r="SBC134" t="s">
        <v>61</v>
      </c>
      <c r="SBD134" t="s">
        <v>61</v>
      </c>
      <c r="SBE134" t="s">
        <v>61</v>
      </c>
      <c r="SBF134" t="s">
        <v>61</v>
      </c>
      <c r="SBG134" t="s">
        <v>61</v>
      </c>
      <c r="SBH134" t="s">
        <v>61</v>
      </c>
      <c r="SBI134" t="s">
        <v>61</v>
      </c>
      <c r="SBJ134" t="s">
        <v>61</v>
      </c>
      <c r="SBK134" t="s">
        <v>61</v>
      </c>
      <c r="SBL134" t="s">
        <v>61</v>
      </c>
      <c r="SBM134" t="s">
        <v>61</v>
      </c>
      <c r="SBN134" t="s">
        <v>61</v>
      </c>
      <c r="SBO134" t="s">
        <v>61</v>
      </c>
      <c r="SBP134" t="s">
        <v>61</v>
      </c>
      <c r="SBQ134" t="s">
        <v>61</v>
      </c>
      <c r="SBR134" t="s">
        <v>61</v>
      </c>
      <c r="SBS134" t="s">
        <v>61</v>
      </c>
      <c r="SBT134" t="s">
        <v>61</v>
      </c>
      <c r="SBU134" t="s">
        <v>61</v>
      </c>
      <c r="SBV134" t="s">
        <v>61</v>
      </c>
      <c r="SBW134" t="s">
        <v>61</v>
      </c>
      <c r="SBX134" t="s">
        <v>61</v>
      </c>
      <c r="SBY134" t="s">
        <v>61</v>
      </c>
      <c r="SBZ134" t="s">
        <v>61</v>
      </c>
      <c r="SCA134" t="s">
        <v>61</v>
      </c>
      <c r="SCB134" t="s">
        <v>61</v>
      </c>
      <c r="SCC134" t="s">
        <v>61</v>
      </c>
      <c r="SCD134" t="s">
        <v>61</v>
      </c>
      <c r="SCE134" t="s">
        <v>61</v>
      </c>
      <c r="SCF134" t="s">
        <v>61</v>
      </c>
      <c r="SCG134" t="s">
        <v>61</v>
      </c>
      <c r="SCH134" t="s">
        <v>61</v>
      </c>
      <c r="SCI134" t="s">
        <v>61</v>
      </c>
      <c r="SCJ134" t="s">
        <v>61</v>
      </c>
      <c r="SCK134" t="s">
        <v>61</v>
      </c>
      <c r="SCL134" t="s">
        <v>61</v>
      </c>
      <c r="SCM134" t="s">
        <v>61</v>
      </c>
      <c r="SCN134" t="s">
        <v>61</v>
      </c>
      <c r="SCO134" t="s">
        <v>61</v>
      </c>
      <c r="SCP134" t="s">
        <v>61</v>
      </c>
      <c r="SCQ134" t="s">
        <v>61</v>
      </c>
      <c r="SCR134" t="s">
        <v>61</v>
      </c>
      <c r="SCS134" t="s">
        <v>61</v>
      </c>
      <c r="SCT134" t="s">
        <v>61</v>
      </c>
      <c r="SCU134" t="s">
        <v>61</v>
      </c>
      <c r="SCV134" t="s">
        <v>61</v>
      </c>
      <c r="SCW134" t="s">
        <v>61</v>
      </c>
      <c r="SCX134" t="s">
        <v>61</v>
      </c>
      <c r="SCY134" t="s">
        <v>61</v>
      </c>
      <c r="SCZ134" t="s">
        <v>61</v>
      </c>
      <c r="SDA134" t="s">
        <v>61</v>
      </c>
      <c r="SDB134" t="s">
        <v>61</v>
      </c>
      <c r="SDC134" t="s">
        <v>61</v>
      </c>
      <c r="SDD134" t="s">
        <v>61</v>
      </c>
      <c r="SDE134" t="s">
        <v>61</v>
      </c>
      <c r="SDF134" t="s">
        <v>61</v>
      </c>
      <c r="SDG134" t="s">
        <v>61</v>
      </c>
      <c r="SDH134" t="s">
        <v>61</v>
      </c>
      <c r="SDI134" t="s">
        <v>61</v>
      </c>
      <c r="SDJ134" t="s">
        <v>61</v>
      </c>
      <c r="SDK134" t="s">
        <v>61</v>
      </c>
      <c r="SDL134" t="s">
        <v>61</v>
      </c>
      <c r="SDM134" t="s">
        <v>61</v>
      </c>
      <c r="SDN134" t="s">
        <v>61</v>
      </c>
      <c r="SDO134" t="s">
        <v>61</v>
      </c>
      <c r="SDP134" t="s">
        <v>61</v>
      </c>
      <c r="SDQ134" t="s">
        <v>61</v>
      </c>
      <c r="SDR134" t="s">
        <v>61</v>
      </c>
      <c r="SDS134" t="s">
        <v>61</v>
      </c>
      <c r="SDT134" t="s">
        <v>61</v>
      </c>
      <c r="SDU134" t="s">
        <v>61</v>
      </c>
      <c r="SDV134" t="s">
        <v>61</v>
      </c>
      <c r="SDW134" t="s">
        <v>61</v>
      </c>
      <c r="SDX134" t="s">
        <v>61</v>
      </c>
      <c r="SDY134" t="s">
        <v>61</v>
      </c>
      <c r="SDZ134" t="s">
        <v>61</v>
      </c>
      <c r="SEA134" t="s">
        <v>61</v>
      </c>
      <c r="SEB134" t="s">
        <v>61</v>
      </c>
      <c r="SEC134" t="s">
        <v>61</v>
      </c>
      <c r="SED134" t="s">
        <v>61</v>
      </c>
      <c r="SEE134" t="s">
        <v>61</v>
      </c>
      <c r="SEF134" t="s">
        <v>61</v>
      </c>
      <c r="SEG134" t="s">
        <v>61</v>
      </c>
      <c r="SEH134" t="s">
        <v>61</v>
      </c>
      <c r="SEI134" t="s">
        <v>61</v>
      </c>
      <c r="SEJ134" t="s">
        <v>61</v>
      </c>
      <c r="SEK134" t="s">
        <v>61</v>
      </c>
      <c r="SEL134" t="s">
        <v>61</v>
      </c>
      <c r="SEM134" t="s">
        <v>61</v>
      </c>
      <c r="SEN134" t="s">
        <v>61</v>
      </c>
      <c r="SEO134" t="s">
        <v>61</v>
      </c>
      <c r="SEP134" t="s">
        <v>61</v>
      </c>
      <c r="SEQ134" t="s">
        <v>61</v>
      </c>
      <c r="SER134" t="s">
        <v>61</v>
      </c>
      <c r="SES134" t="s">
        <v>61</v>
      </c>
      <c r="SET134" t="s">
        <v>61</v>
      </c>
      <c r="SEU134" t="s">
        <v>61</v>
      </c>
      <c r="SEV134" t="s">
        <v>61</v>
      </c>
      <c r="SEW134" t="s">
        <v>61</v>
      </c>
      <c r="SEX134" t="s">
        <v>61</v>
      </c>
      <c r="SEY134" t="s">
        <v>61</v>
      </c>
      <c r="SEZ134" t="s">
        <v>61</v>
      </c>
      <c r="SFA134" t="s">
        <v>61</v>
      </c>
      <c r="SFB134" t="s">
        <v>61</v>
      </c>
      <c r="SFC134" t="s">
        <v>61</v>
      </c>
      <c r="SFD134" t="s">
        <v>61</v>
      </c>
      <c r="SFE134" t="s">
        <v>61</v>
      </c>
      <c r="SFF134" t="s">
        <v>61</v>
      </c>
      <c r="SFG134" t="s">
        <v>61</v>
      </c>
      <c r="SFH134" t="s">
        <v>61</v>
      </c>
      <c r="SFI134" t="s">
        <v>61</v>
      </c>
      <c r="SFJ134" t="s">
        <v>61</v>
      </c>
      <c r="SFK134" t="s">
        <v>61</v>
      </c>
      <c r="SFL134" t="s">
        <v>61</v>
      </c>
      <c r="SFM134" t="s">
        <v>61</v>
      </c>
      <c r="SFN134" t="s">
        <v>61</v>
      </c>
      <c r="SFO134" t="s">
        <v>61</v>
      </c>
      <c r="SFP134" t="s">
        <v>61</v>
      </c>
      <c r="SFQ134" t="s">
        <v>61</v>
      </c>
      <c r="SFR134" t="s">
        <v>61</v>
      </c>
      <c r="SFS134" t="s">
        <v>61</v>
      </c>
      <c r="SFT134" t="s">
        <v>61</v>
      </c>
      <c r="SFU134" t="s">
        <v>61</v>
      </c>
      <c r="SFV134" t="s">
        <v>61</v>
      </c>
      <c r="SFW134" t="s">
        <v>61</v>
      </c>
      <c r="SFX134" t="s">
        <v>61</v>
      </c>
      <c r="SFY134" t="s">
        <v>61</v>
      </c>
      <c r="SFZ134" t="s">
        <v>61</v>
      </c>
      <c r="SGA134" t="s">
        <v>61</v>
      </c>
      <c r="SGB134" t="s">
        <v>61</v>
      </c>
      <c r="SGC134" t="s">
        <v>61</v>
      </c>
      <c r="SGD134" t="s">
        <v>61</v>
      </c>
      <c r="SGE134" t="s">
        <v>61</v>
      </c>
      <c r="SGF134" t="s">
        <v>61</v>
      </c>
      <c r="SGG134" t="s">
        <v>61</v>
      </c>
      <c r="SGH134" t="s">
        <v>61</v>
      </c>
      <c r="SGI134" t="s">
        <v>61</v>
      </c>
      <c r="SGJ134" t="s">
        <v>61</v>
      </c>
      <c r="SGK134" t="s">
        <v>61</v>
      </c>
      <c r="SGL134" t="s">
        <v>61</v>
      </c>
      <c r="SGM134" t="s">
        <v>61</v>
      </c>
      <c r="SGN134" t="s">
        <v>61</v>
      </c>
      <c r="SGO134" t="s">
        <v>61</v>
      </c>
      <c r="SGP134" t="s">
        <v>61</v>
      </c>
      <c r="SGQ134" t="s">
        <v>61</v>
      </c>
      <c r="SGR134" t="s">
        <v>61</v>
      </c>
      <c r="SGS134" t="s">
        <v>61</v>
      </c>
      <c r="SGT134" t="s">
        <v>61</v>
      </c>
      <c r="SGU134" t="s">
        <v>61</v>
      </c>
      <c r="SGV134" t="s">
        <v>61</v>
      </c>
      <c r="SGW134" t="s">
        <v>61</v>
      </c>
      <c r="SGX134" t="s">
        <v>61</v>
      </c>
      <c r="SGY134" t="s">
        <v>61</v>
      </c>
      <c r="SGZ134" t="s">
        <v>61</v>
      </c>
      <c r="SHA134" t="s">
        <v>61</v>
      </c>
      <c r="SHB134" t="s">
        <v>61</v>
      </c>
      <c r="SHC134" t="s">
        <v>61</v>
      </c>
      <c r="SHD134" t="s">
        <v>61</v>
      </c>
      <c r="SHE134" t="s">
        <v>61</v>
      </c>
      <c r="SHF134" t="s">
        <v>61</v>
      </c>
      <c r="SHG134" t="s">
        <v>61</v>
      </c>
      <c r="SHH134" t="s">
        <v>61</v>
      </c>
      <c r="SHI134" t="s">
        <v>61</v>
      </c>
      <c r="SHJ134" t="s">
        <v>61</v>
      </c>
      <c r="SHK134" t="s">
        <v>61</v>
      </c>
      <c r="SHL134" t="s">
        <v>61</v>
      </c>
      <c r="SHM134" t="s">
        <v>61</v>
      </c>
      <c r="SHN134" t="s">
        <v>61</v>
      </c>
      <c r="SHO134" t="s">
        <v>61</v>
      </c>
      <c r="SHP134" t="s">
        <v>61</v>
      </c>
      <c r="SHQ134" t="s">
        <v>61</v>
      </c>
      <c r="SHR134" t="s">
        <v>61</v>
      </c>
      <c r="SHS134" t="s">
        <v>61</v>
      </c>
      <c r="SHT134" t="s">
        <v>61</v>
      </c>
      <c r="SHU134" t="s">
        <v>61</v>
      </c>
      <c r="SHV134" t="s">
        <v>61</v>
      </c>
      <c r="SHW134" t="s">
        <v>61</v>
      </c>
      <c r="SHX134" t="s">
        <v>61</v>
      </c>
      <c r="SHY134" t="s">
        <v>61</v>
      </c>
      <c r="SHZ134" t="s">
        <v>61</v>
      </c>
      <c r="SIA134" t="s">
        <v>61</v>
      </c>
      <c r="SIB134" t="s">
        <v>61</v>
      </c>
      <c r="SIC134" t="s">
        <v>61</v>
      </c>
      <c r="SID134" t="s">
        <v>61</v>
      </c>
      <c r="SIE134" t="s">
        <v>61</v>
      </c>
      <c r="SIF134" t="s">
        <v>61</v>
      </c>
      <c r="SIG134" t="s">
        <v>61</v>
      </c>
      <c r="SIH134" t="s">
        <v>61</v>
      </c>
      <c r="SII134" t="s">
        <v>61</v>
      </c>
      <c r="SIJ134" t="s">
        <v>61</v>
      </c>
      <c r="SIK134" t="s">
        <v>61</v>
      </c>
      <c r="SIL134" t="s">
        <v>61</v>
      </c>
      <c r="SIM134" t="s">
        <v>61</v>
      </c>
      <c r="SIN134" t="s">
        <v>61</v>
      </c>
      <c r="SIO134" t="s">
        <v>61</v>
      </c>
      <c r="SIP134" t="s">
        <v>61</v>
      </c>
      <c r="SIQ134" t="s">
        <v>61</v>
      </c>
      <c r="SIR134" t="s">
        <v>61</v>
      </c>
      <c r="SIS134" t="s">
        <v>61</v>
      </c>
      <c r="SIT134" t="s">
        <v>61</v>
      </c>
      <c r="SIU134" t="s">
        <v>61</v>
      </c>
      <c r="SIV134" t="s">
        <v>61</v>
      </c>
      <c r="SIW134" t="s">
        <v>61</v>
      </c>
      <c r="SIX134" t="s">
        <v>61</v>
      </c>
      <c r="SIY134" t="s">
        <v>61</v>
      </c>
      <c r="SIZ134" t="s">
        <v>61</v>
      </c>
      <c r="SJA134" t="s">
        <v>61</v>
      </c>
      <c r="SJB134" t="s">
        <v>61</v>
      </c>
      <c r="SJC134" t="s">
        <v>61</v>
      </c>
      <c r="SJD134" t="s">
        <v>61</v>
      </c>
      <c r="SJE134" t="s">
        <v>61</v>
      </c>
      <c r="SJF134" t="s">
        <v>61</v>
      </c>
      <c r="SJG134" t="s">
        <v>61</v>
      </c>
      <c r="SJH134" t="s">
        <v>61</v>
      </c>
      <c r="SJI134" t="s">
        <v>61</v>
      </c>
      <c r="SJJ134" t="s">
        <v>61</v>
      </c>
      <c r="SJK134" t="s">
        <v>61</v>
      </c>
      <c r="SJL134" t="s">
        <v>61</v>
      </c>
      <c r="SJM134" t="s">
        <v>61</v>
      </c>
      <c r="SJN134" t="s">
        <v>61</v>
      </c>
      <c r="SJO134" t="s">
        <v>61</v>
      </c>
      <c r="SJP134" t="s">
        <v>61</v>
      </c>
      <c r="SJQ134" t="s">
        <v>61</v>
      </c>
      <c r="SJR134" t="s">
        <v>61</v>
      </c>
      <c r="SJS134" t="s">
        <v>61</v>
      </c>
      <c r="SJT134" t="s">
        <v>61</v>
      </c>
      <c r="SJU134" t="s">
        <v>61</v>
      </c>
      <c r="SJV134" t="s">
        <v>61</v>
      </c>
      <c r="SJW134" t="s">
        <v>61</v>
      </c>
      <c r="SJX134" t="s">
        <v>61</v>
      </c>
      <c r="SJY134" t="s">
        <v>61</v>
      </c>
      <c r="SJZ134" t="s">
        <v>61</v>
      </c>
      <c r="SKA134" t="s">
        <v>61</v>
      </c>
      <c r="SKB134" t="s">
        <v>61</v>
      </c>
      <c r="SKC134" t="s">
        <v>61</v>
      </c>
      <c r="SKD134" t="s">
        <v>61</v>
      </c>
      <c r="SKE134" t="s">
        <v>61</v>
      </c>
      <c r="SKF134" t="s">
        <v>61</v>
      </c>
      <c r="SKG134" t="s">
        <v>61</v>
      </c>
      <c r="SKH134" t="s">
        <v>61</v>
      </c>
      <c r="SKI134" t="s">
        <v>61</v>
      </c>
      <c r="SKJ134" t="s">
        <v>61</v>
      </c>
      <c r="SKK134" t="s">
        <v>61</v>
      </c>
      <c r="SKL134" t="s">
        <v>61</v>
      </c>
      <c r="SKM134" t="s">
        <v>61</v>
      </c>
      <c r="SKN134" t="s">
        <v>61</v>
      </c>
      <c r="SKO134" t="s">
        <v>61</v>
      </c>
      <c r="SKP134" t="s">
        <v>61</v>
      </c>
      <c r="SKQ134" t="s">
        <v>61</v>
      </c>
      <c r="SKR134" t="s">
        <v>61</v>
      </c>
      <c r="SKS134" t="s">
        <v>61</v>
      </c>
      <c r="SKT134" t="s">
        <v>61</v>
      </c>
      <c r="SKU134" t="s">
        <v>61</v>
      </c>
      <c r="SKV134" t="s">
        <v>61</v>
      </c>
      <c r="SKW134" t="s">
        <v>61</v>
      </c>
      <c r="SKX134" t="s">
        <v>61</v>
      </c>
      <c r="SKY134" t="s">
        <v>61</v>
      </c>
      <c r="SKZ134" t="s">
        <v>61</v>
      </c>
      <c r="SLA134" t="s">
        <v>61</v>
      </c>
      <c r="SLB134" t="s">
        <v>61</v>
      </c>
      <c r="SLC134" t="s">
        <v>61</v>
      </c>
      <c r="SLD134" t="s">
        <v>61</v>
      </c>
      <c r="SLE134" t="s">
        <v>61</v>
      </c>
      <c r="SLF134" t="s">
        <v>61</v>
      </c>
      <c r="SLG134" t="s">
        <v>61</v>
      </c>
      <c r="SLH134" t="s">
        <v>61</v>
      </c>
      <c r="SLI134" t="s">
        <v>61</v>
      </c>
      <c r="SLJ134" t="s">
        <v>61</v>
      </c>
      <c r="SLK134" t="s">
        <v>61</v>
      </c>
      <c r="SLL134" t="s">
        <v>61</v>
      </c>
      <c r="SLM134" t="s">
        <v>61</v>
      </c>
      <c r="SLN134" t="s">
        <v>61</v>
      </c>
      <c r="SLO134" t="s">
        <v>61</v>
      </c>
      <c r="SLP134" t="s">
        <v>61</v>
      </c>
      <c r="SLQ134" t="s">
        <v>61</v>
      </c>
      <c r="SLR134" t="s">
        <v>61</v>
      </c>
      <c r="SLS134" t="s">
        <v>61</v>
      </c>
      <c r="SLT134" t="s">
        <v>61</v>
      </c>
      <c r="SLU134" t="s">
        <v>61</v>
      </c>
      <c r="SLV134" t="s">
        <v>61</v>
      </c>
      <c r="SLW134" t="s">
        <v>61</v>
      </c>
      <c r="SLX134" t="s">
        <v>61</v>
      </c>
      <c r="SLY134" t="s">
        <v>61</v>
      </c>
      <c r="SLZ134" t="s">
        <v>61</v>
      </c>
      <c r="SMA134" t="s">
        <v>61</v>
      </c>
      <c r="SMB134" t="s">
        <v>61</v>
      </c>
      <c r="SMC134" t="s">
        <v>61</v>
      </c>
      <c r="SMD134" t="s">
        <v>61</v>
      </c>
      <c r="SME134" t="s">
        <v>61</v>
      </c>
      <c r="SMF134" t="s">
        <v>61</v>
      </c>
      <c r="SMG134" t="s">
        <v>61</v>
      </c>
      <c r="SMH134" t="s">
        <v>61</v>
      </c>
      <c r="SMI134" t="s">
        <v>61</v>
      </c>
      <c r="SMJ134" t="s">
        <v>61</v>
      </c>
      <c r="SMK134" t="s">
        <v>61</v>
      </c>
      <c r="SML134" t="s">
        <v>61</v>
      </c>
      <c r="SMM134" t="s">
        <v>61</v>
      </c>
      <c r="SMN134" t="s">
        <v>61</v>
      </c>
      <c r="SMO134" t="s">
        <v>61</v>
      </c>
      <c r="SMP134" t="s">
        <v>61</v>
      </c>
      <c r="SMQ134" t="s">
        <v>61</v>
      </c>
      <c r="SMR134" t="s">
        <v>61</v>
      </c>
      <c r="SMS134" t="s">
        <v>61</v>
      </c>
      <c r="SMT134" t="s">
        <v>61</v>
      </c>
      <c r="SMU134" t="s">
        <v>61</v>
      </c>
      <c r="SMV134" t="s">
        <v>61</v>
      </c>
      <c r="SMW134" t="s">
        <v>61</v>
      </c>
      <c r="SMX134" t="s">
        <v>61</v>
      </c>
      <c r="SMY134" t="s">
        <v>61</v>
      </c>
      <c r="SMZ134" t="s">
        <v>61</v>
      </c>
      <c r="SNA134" t="s">
        <v>61</v>
      </c>
      <c r="SNB134" t="s">
        <v>61</v>
      </c>
      <c r="SNC134" t="s">
        <v>61</v>
      </c>
      <c r="SND134" t="s">
        <v>61</v>
      </c>
      <c r="SNE134" t="s">
        <v>61</v>
      </c>
      <c r="SNF134" t="s">
        <v>61</v>
      </c>
      <c r="SNG134" t="s">
        <v>61</v>
      </c>
      <c r="SNH134" t="s">
        <v>61</v>
      </c>
      <c r="SNI134" t="s">
        <v>61</v>
      </c>
      <c r="SNJ134" t="s">
        <v>61</v>
      </c>
      <c r="SNK134" t="s">
        <v>61</v>
      </c>
      <c r="SNL134" t="s">
        <v>61</v>
      </c>
      <c r="SNM134" t="s">
        <v>61</v>
      </c>
      <c r="SNN134" t="s">
        <v>61</v>
      </c>
      <c r="SNO134" t="s">
        <v>61</v>
      </c>
      <c r="SNP134" t="s">
        <v>61</v>
      </c>
      <c r="SNQ134" t="s">
        <v>61</v>
      </c>
      <c r="SNR134" t="s">
        <v>61</v>
      </c>
      <c r="SNS134" t="s">
        <v>61</v>
      </c>
      <c r="SNT134" t="s">
        <v>61</v>
      </c>
      <c r="SNU134" t="s">
        <v>61</v>
      </c>
      <c r="SNV134" t="s">
        <v>61</v>
      </c>
      <c r="SNW134" t="s">
        <v>61</v>
      </c>
      <c r="SNX134" t="s">
        <v>61</v>
      </c>
      <c r="SNY134" t="s">
        <v>61</v>
      </c>
      <c r="SNZ134" t="s">
        <v>61</v>
      </c>
      <c r="SOA134" t="s">
        <v>61</v>
      </c>
      <c r="SOB134" t="s">
        <v>61</v>
      </c>
      <c r="SOC134" t="s">
        <v>61</v>
      </c>
      <c r="SOD134" t="s">
        <v>61</v>
      </c>
      <c r="SOE134" t="s">
        <v>61</v>
      </c>
      <c r="SOF134" t="s">
        <v>61</v>
      </c>
      <c r="SOG134" t="s">
        <v>61</v>
      </c>
      <c r="SOH134" t="s">
        <v>61</v>
      </c>
      <c r="SOI134" t="s">
        <v>61</v>
      </c>
      <c r="SOJ134" t="s">
        <v>61</v>
      </c>
      <c r="SOK134" t="s">
        <v>61</v>
      </c>
      <c r="SOL134" t="s">
        <v>61</v>
      </c>
      <c r="SOM134" t="s">
        <v>61</v>
      </c>
      <c r="SON134" t="s">
        <v>61</v>
      </c>
      <c r="SOO134" t="s">
        <v>61</v>
      </c>
      <c r="SOP134" t="s">
        <v>61</v>
      </c>
      <c r="SOQ134" t="s">
        <v>61</v>
      </c>
      <c r="SOR134" t="s">
        <v>61</v>
      </c>
      <c r="SOS134" t="s">
        <v>61</v>
      </c>
      <c r="SOT134" t="s">
        <v>61</v>
      </c>
      <c r="SOU134" t="s">
        <v>61</v>
      </c>
      <c r="SOV134" t="s">
        <v>61</v>
      </c>
      <c r="SOW134" t="s">
        <v>61</v>
      </c>
      <c r="SOX134" t="s">
        <v>61</v>
      </c>
      <c r="SOY134" t="s">
        <v>61</v>
      </c>
      <c r="SOZ134" t="s">
        <v>61</v>
      </c>
      <c r="SPA134" t="s">
        <v>61</v>
      </c>
      <c r="SPB134" t="s">
        <v>61</v>
      </c>
      <c r="SPC134" t="s">
        <v>61</v>
      </c>
      <c r="SPD134" t="s">
        <v>61</v>
      </c>
      <c r="SPE134" t="s">
        <v>61</v>
      </c>
      <c r="SPF134" t="s">
        <v>61</v>
      </c>
      <c r="SPG134" t="s">
        <v>61</v>
      </c>
      <c r="SPH134" t="s">
        <v>61</v>
      </c>
      <c r="SPI134" t="s">
        <v>61</v>
      </c>
      <c r="SPJ134" t="s">
        <v>61</v>
      </c>
      <c r="SPK134" t="s">
        <v>61</v>
      </c>
      <c r="SPL134" t="s">
        <v>61</v>
      </c>
      <c r="SPM134" t="s">
        <v>61</v>
      </c>
      <c r="SPN134" t="s">
        <v>61</v>
      </c>
      <c r="SPO134" t="s">
        <v>61</v>
      </c>
      <c r="SPP134" t="s">
        <v>61</v>
      </c>
      <c r="SPQ134" t="s">
        <v>61</v>
      </c>
      <c r="SPR134" t="s">
        <v>61</v>
      </c>
      <c r="SPS134" t="s">
        <v>61</v>
      </c>
      <c r="SPT134" t="s">
        <v>61</v>
      </c>
      <c r="SPU134" t="s">
        <v>61</v>
      </c>
      <c r="SPV134" t="s">
        <v>61</v>
      </c>
      <c r="SPW134" t="s">
        <v>61</v>
      </c>
      <c r="SPX134" t="s">
        <v>61</v>
      </c>
      <c r="SPY134" t="s">
        <v>61</v>
      </c>
      <c r="SPZ134" t="s">
        <v>61</v>
      </c>
      <c r="SQA134" t="s">
        <v>61</v>
      </c>
      <c r="SQB134" t="s">
        <v>61</v>
      </c>
      <c r="SQC134" t="s">
        <v>61</v>
      </c>
      <c r="SQD134" t="s">
        <v>61</v>
      </c>
      <c r="SQE134" t="s">
        <v>61</v>
      </c>
      <c r="SQF134" t="s">
        <v>61</v>
      </c>
      <c r="SQG134" t="s">
        <v>61</v>
      </c>
      <c r="SQH134" t="s">
        <v>61</v>
      </c>
      <c r="SQI134" t="s">
        <v>61</v>
      </c>
      <c r="SQJ134" t="s">
        <v>61</v>
      </c>
      <c r="SQK134" t="s">
        <v>61</v>
      </c>
      <c r="SQL134" t="s">
        <v>61</v>
      </c>
      <c r="SQM134" t="s">
        <v>61</v>
      </c>
      <c r="SQN134" t="s">
        <v>61</v>
      </c>
      <c r="SQO134" t="s">
        <v>61</v>
      </c>
      <c r="SQP134" t="s">
        <v>61</v>
      </c>
      <c r="SQQ134" t="s">
        <v>61</v>
      </c>
      <c r="SQR134" t="s">
        <v>61</v>
      </c>
      <c r="SQS134" t="s">
        <v>61</v>
      </c>
      <c r="SQT134" t="s">
        <v>61</v>
      </c>
      <c r="SQU134" t="s">
        <v>61</v>
      </c>
      <c r="SQV134" t="s">
        <v>61</v>
      </c>
      <c r="SQW134" t="s">
        <v>61</v>
      </c>
      <c r="SQX134" t="s">
        <v>61</v>
      </c>
      <c r="SQY134" t="s">
        <v>61</v>
      </c>
      <c r="SQZ134" t="s">
        <v>61</v>
      </c>
      <c r="SRA134" t="s">
        <v>61</v>
      </c>
      <c r="SRB134" t="s">
        <v>61</v>
      </c>
      <c r="SRC134" t="s">
        <v>61</v>
      </c>
      <c r="SRD134" t="s">
        <v>61</v>
      </c>
      <c r="SRE134" t="s">
        <v>61</v>
      </c>
      <c r="SRF134" t="s">
        <v>61</v>
      </c>
      <c r="SRG134" t="s">
        <v>61</v>
      </c>
      <c r="SRH134" t="s">
        <v>61</v>
      </c>
      <c r="SRI134" t="s">
        <v>61</v>
      </c>
      <c r="SRJ134" t="s">
        <v>61</v>
      </c>
      <c r="SRK134" t="s">
        <v>61</v>
      </c>
      <c r="SRL134" t="s">
        <v>61</v>
      </c>
      <c r="SRM134" t="s">
        <v>61</v>
      </c>
      <c r="SRN134" t="s">
        <v>61</v>
      </c>
      <c r="SRO134" t="s">
        <v>61</v>
      </c>
      <c r="SRP134" t="s">
        <v>61</v>
      </c>
      <c r="SRQ134" t="s">
        <v>61</v>
      </c>
      <c r="SRR134" t="s">
        <v>61</v>
      </c>
      <c r="SRS134" t="s">
        <v>61</v>
      </c>
      <c r="SRT134" t="s">
        <v>61</v>
      </c>
      <c r="SRU134" t="s">
        <v>61</v>
      </c>
      <c r="SRV134" t="s">
        <v>61</v>
      </c>
      <c r="SRW134" t="s">
        <v>61</v>
      </c>
      <c r="SRX134" t="s">
        <v>61</v>
      </c>
      <c r="SRY134" t="s">
        <v>61</v>
      </c>
      <c r="SRZ134" t="s">
        <v>61</v>
      </c>
      <c r="SSA134" t="s">
        <v>61</v>
      </c>
      <c r="SSB134" t="s">
        <v>61</v>
      </c>
      <c r="SSC134" t="s">
        <v>61</v>
      </c>
      <c r="SSD134" t="s">
        <v>61</v>
      </c>
      <c r="SSE134" t="s">
        <v>61</v>
      </c>
      <c r="SSF134" t="s">
        <v>61</v>
      </c>
      <c r="SSG134" t="s">
        <v>61</v>
      </c>
      <c r="SSH134" t="s">
        <v>61</v>
      </c>
      <c r="SSI134" t="s">
        <v>61</v>
      </c>
      <c r="SSJ134" t="s">
        <v>61</v>
      </c>
      <c r="SSK134" t="s">
        <v>61</v>
      </c>
      <c r="SSL134" t="s">
        <v>61</v>
      </c>
      <c r="SSM134" t="s">
        <v>61</v>
      </c>
      <c r="SSN134" t="s">
        <v>61</v>
      </c>
      <c r="SSO134" t="s">
        <v>61</v>
      </c>
      <c r="SSP134" t="s">
        <v>61</v>
      </c>
      <c r="SSQ134" t="s">
        <v>61</v>
      </c>
      <c r="SSR134" t="s">
        <v>61</v>
      </c>
      <c r="SSS134" t="s">
        <v>61</v>
      </c>
      <c r="SST134" t="s">
        <v>61</v>
      </c>
      <c r="SSU134" t="s">
        <v>61</v>
      </c>
      <c r="SSV134" t="s">
        <v>61</v>
      </c>
      <c r="SSW134" t="s">
        <v>61</v>
      </c>
      <c r="SSX134" t="s">
        <v>61</v>
      </c>
      <c r="SSY134" t="s">
        <v>61</v>
      </c>
      <c r="SSZ134" t="s">
        <v>61</v>
      </c>
      <c r="STA134" t="s">
        <v>61</v>
      </c>
      <c r="STB134" t="s">
        <v>61</v>
      </c>
      <c r="STC134" t="s">
        <v>61</v>
      </c>
      <c r="STD134" t="s">
        <v>61</v>
      </c>
      <c r="STE134" t="s">
        <v>61</v>
      </c>
      <c r="STF134" t="s">
        <v>61</v>
      </c>
      <c r="STG134" t="s">
        <v>61</v>
      </c>
      <c r="STH134" t="s">
        <v>61</v>
      </c>
      <c r="STI134" t="s">
        <v>61</v>
      </c>
      <c r="STJ134" t="s">
        <v>61</v>
      </c>
      <c r="STK134" t="s">
        <v>61</v>
      </c>
      <c r="STL134" t="s">
        <v>61</v>
      </c>
      <c r="STM134" t="s">
        <v>61</v>
      </c>
      <c r="STN134" t="s">
        <v>61</v>
      </c>
      <c r="STO134" t="s">
        <v>61</v>
      </c>
      <c r="STP134" t="s">
        <v>61</v>
      </c>
      <c r="STQ134" t="s">
        <v>61</v>
      </c>
      <c r="STR134" t="s">
        <v>61</v>
      </c>
      <c r="STS134" t="s">
        <v>61</v>
      </c>
      <c r="STT134" t="s">
        <v>61</v>
      </c>
      <c r="STU134" t="s">
        <v>61</v>
      </c>
      <c r="STV134" t="s">
        <v>61</v>
      </c>
      <c r="STW134" t="s">
        <v>61</v>
      </c>
      <c r="STX134" t="s">
        <v>61</v>
      </c>
      <c r="STY134" t="s">
        <v>61</v>
      </c>
      <c r="STZ134" t="s">
        <v>61</v>
      </c>
      <c r="SUA134" t="s">
        <v>61</v>
      </c>
      <c r="SUB134" t="s">
        <v>61</v>
      </c>
      <c r="SUC134" t="s">
        <v>61</v>
      </c>
      <c r="SUD134" t="s">
        <v>61</v>
      </c>
      <c r="SUE134" t="s">
        <v>61</v>
      </c>
      <c r="SUF134" t="s">
        <v>61</v>
      </c>
      <c r="SUG134" t="s">
        <v>61</v>
      </c>
      <c r="SUH134" t="s">
        <v>61</v>
      </c>
      <c r="SUI134" t="s">
        <v>61</v>
      </c>
      <c r="SUJ134" t="s">
        <v>61</v>
      </c>
      <c r="SUK134" t="s">
        <v>61</v>
      </c>
      <c r="SUL134" t="s">
        <v>61</v>
      </c>
      <c r="SUM134" t="s">
        <v>61</v>
      </c>
      <c r="SUN134" t="s">
        <v>61</v>
      </c>
      <c r="SUO134" t="s">
        <v>61</v>
      </c>
      <c r="SUP134" t="s">
        <v>61</v>
      </c>
      <c r="SUQ134" t="s">
        <v>61</v>
      </c>
      <c r="SUR134" t="s">
        <v>61</v>
      </c>
      <c r="SUS134" t="s">
        <v>61</v>
      </c>
      <c r="SUT134" t="s">
        <v>61</v>
      </c>
      <c r="SUU134" t="s">
        <v>61</v>
      </c>
      <c r="SUV134" t="s">
        <v>61</v>
      </c>
      <c r="SUW134" t="s">
        <v>61</v>
      </c>
      <c r="SUX134" t="s">
        <v>61</v>
      </c>
      <c r="SUY134" t="s">
        <v>61</v>
      </c>
      <c r="SUZ134" t="s">
        <v>61</v>
      </c>
      <c r="SVA134" t="s">
        <v>61</v>
      </c>
      <c r="SVB134" t="s">
        <v>61</v>
      </c>
      <c r="SVC134" t="s">
        <v>61</v>
      </c>
      <c r="SVD134" t="s">
        <v>61</v>
      </c>
      <c r="SVE134" t="s">
        <v>61</v>
      </c>
      <c r="SVF134" t="s">
        <v>61</v>
      </c>
      <c r="SVG134" t="s">
        <v>61</v>
      </c>
      <c r="SVH134" t="s">
        <v>61</v>
      </c>
      <c r="SVI134" t="s">
        <v>61</v>
      </c>
      <c r="SVJ134" t="s">
        <v>61</v>
      </c>
      <c r="SVK134" t="s">
        <v>61</v>
      </c>
      <c r="SVL134" t="s">
        <v>61</v>
      </c>
      <c r="SVM134" t="s">
        <v>61</v>
      </c>
      <c r="SVN134" t="s">
        <v>61</v>
      </c>
      <c r="SVO134" t="s">
        <v>61</v>
      </c>
      <c r="SVP134" t="s">
        <v>61</v>
      </c>
      <c r="SVQ134" t="s">
        <v>61</v>
      </c>
      <c r="SVR134" t="s">
        <v>61</v>
      </c>
      <c r="SVS134" t="s">
        <v>61</v>
      </c>
      <c r="SVT134" t="s">
        <v>61</v>
      </c>
      <c r="SVU134" t="s">
        <v>61</v>
      </c>
      <c r="SVV134" t="s">
        <v>61</v>
      </c>
      <c r="SVW134" t="s">
        <v>61</v>
      </c>
      <c r="SVX134" t="s">
        <v>61</v>
      </c>
      <c r="SVY134" t="s">
        <v>61</v>
      </c>
      <c r="SVZ134" t="s">
        <v>61</v>
      </c>
      <c r="SWA134" t="s">
        <v>61</v>
      </c>
      <c r="SWB134" t="s">
        <v>61</v>
      </c>
      <c r="SWC134" t="s">
        <v>61</v>
      </c>
      <c r="SWD134" t="s">
        <v>61</v>
      </c>
      <c r="SWE134" t="s">
        <v>61</v>
      </c>
      <c r="SWF134" t="s">
        <v>61</v>
      </c>
      <c r="SWG134" t="s">
        <v>61</v>
      </c>
      <c r="SWH134" t="s">
        <v>61</v>
      </c>
      <c r="SWI134" t="s">
        <v>61</v>
      </c>
      <c r="SWJ134" t="s">
        <v>61</v>
      </c>
      <c r="SWK134" t="s">
        <v>61</v>
      </c>
      <c r="SWL134" t="s">
        <v>61</v>
      </c>
      <c r="SWM134" t="s">
        <v>61</v>
      </c>
      <c r="SWN134" t="s">
        <v>61</v>
      </c>
      <c r="SWO134" t="s">
        <v>61</v>
      </c>
      <c r="SWP134" t="s">
        <v>61</v>
      </c>
      <c r="SWQ134" t="s">
        <v>61</v>
      </c>
      <c r="SWR134" t="s">
        <v>61</v>
      </c>
      <c r="SWS134" t="s">
        <v>61</v>
      </c>
      <c r="SWT134" t="s">
        <v>61</v>
      </c>
      <c r="SWU134" t="s">
        <v>61</v>
      </c>
      <c r="SWV134" t="s">
        <v>61</v>
      </c>
      <c r="SWW134" t="s">
        <v>61</v>
      </c>
      <c r="SWX134" t="s">
        <v>61</v>
      </c>
      <c r="SWY134" t="s">
        <v>61</v>
      </c>
      <c r="SWZ134" t="s">
        <v>61</v>
      </c>
      <c r="SXA134" t="s">
        <v>61</v>
      </c>
      <c r="SXB134" t="s">
        <v>61</v>
      </c>
      <c r="SXC134" t="s">
        <v>61</v>
      </c>
      <c r="SXD134" t="s">
        <v>61</v>
      </c>
      <c r="SXE134" t="s">
        <v>61</v>
      </c>
      <c r="SXF134" t="s">
        <v>61</v>
      </c>
      <c r="SXG134" t="s">
        <v>61</v>
      </c>
      <c r="SXH134" t="s">
        <v>61</v>
      </c>
      <c r="SXI134" t="s">
        <v>61</v>
      </c>
      <c r="SXJ134" t="s">
        <v>61</v>
      </c>
      <c r="SXK134" t="s">
        <v>61</v>
      </c>
      <c r="SXL134" t="s">
        <v>61</v>
      </c>
      <c r="SXM134" t="s">
        <v>61</v>
      </c>
      <c r="SXN134" t="s">
        <v>61</v>
      </c>
      <c r="SXO134" t="s">
        <v>61</v>
      </c>
      <c r="SXP134" t="s">
        <v>61</v>
      </c>
      <c r="SXQ134" t="s">
        <v>61</v>
      </c>
      <c r="SXR134" t="s">
        <v>61</v>
      </c>
      <c r="SXS134" t="s">
        <v>61</v>
      </c>
      <c r="SXT134" t="s">
        <v>61</v>
      </c>
      <c r="SXU134" t="s">
        <v>61</v>
      </c>
      <c r="SXV134" t="s">
        <v>61</v>
      </c>
      <c r="SXW134" t="s">
        <v>61</v>
      </c>
      <c r="SXX134" t="s">
        <v>61</v>
      </c>
      <c r="SXY134" t="s">
        <v>61</v>
      </c>
      <c r="SXZ134" t="s">
        <v>61</v>
      </c>
      <c r="SYA134" t="s">
        <v>61</v>
      </c>
      <c r="SYB134" t="s">
        <v>61</v>
      </c>
      <c r="SYC134" t="s">
        <v>61</v>
      </c>
      <c r="SYD134" t="s">
        <v>61</v>
      </c>
      <c r="SYE134" t="s">
        <v>61</v>
      </c>
      <c r="SYF134" t="s">
        <v>61</v>
      </c>
      <c r="SYG134" t="s">
        <v>61</v>
      </c>
      <c r="SYH134" t="s">
        <v>61</v>
      </c>
      <c r="SYI134" t="s">
        <v>61</v>
      </c>
      <c r="SYJ134" t="s">
        <v>61</v>
      </c>
      <c r="SYK134" t="s">
        <v>61</v>
      </c>
      <c r="SYL134" t="s">
        <v>61</v>
      </c>
      <c r="SYM134" t="s">
        <v>61</v>
      </c>
      <c r="SYN134" t="s">
        <v>61</v>
      </c>
      <c r="SYO134" t="s">
        <v>61</v>
      </c>
      <c r="SYP134" t="s">
        <v>61</v>
      </c>
      <c r="SYQ134" t="s">
        <v>61</v>
      </c>
      <c r="SYR134" t="s">
        <v>61</v>
      </c>
      <c r="SYS134" t="s">
        <v>61</v>
      </c>
      <c r="SYT134" t="s">
        <v>61</v>
      </c>
      <c r="SYU134" t="s">
        <v>61</v>
      </c>
      <c r="SYV134" t="s">
        <v>61</v>
      </c>
      <c r="SYW134" t="s">
        <v>61</v>
      </c>
      <c r="SYX134" t="s">
        <v>61</v>
      </c>
      <c r="SYY134" t="s">
        <v>61</v>
      </c>
      <c r="SYZ134" t="s">
        <v>61</v>
      </c>
      <c r="SZA134" t="s">
        <v>61</v>
      </c>
      <c r="SZB134" t="s">
        <v>61</v>
      </c>
      <c r="SZC134" t="s">
        <v>61</v>
      </c>
      <c r="SZD134" t="s">
        <v>61</v>
      </c>
      <c r="SZE134" t="s">
        <v>61</v>
      </c>
      <c r="SZF134" t="s">
        <v>61</v>
      </c>
      <c r="SZG134" t="s">
        <v>61</v>
      </c>
      <c r="SZH134" t="s">
        <v>61</v>
      </c>
      <c r="SZI134" t="s">
        <v>61</v>
      </c>
      <c r="SZJ134" t="s">
        <v>61</v>
      </c>
      <c r="SZK134" t="s">
        <v>61</v>
      </c>
      <c r="SZL134" t="s">
        <v>61</v>
      </c>
      <c r="SZM134" t="s">
        <v>61</v>
      </c>
      <c r="SZN134" t="s">
        <v>61</v>
      </c>
      <c r="SZO134" t="s">
        <v>61</v>
      </c>
      <c r="SZP134" t="s">
        <v>61</v>
      </c>
      <c r="SZQ134" t="s">
        <v>61</v>
      </c>
      <c r="SZR134" t="s">
        <v>61</v>
      </c>
      <c r="SZS134" t="s">
        <v>61</v>
      </c>
      <c r="SZT134" t="s">
        <v>61</v>
      </c>
      <c r="SZU134" t="s">
        <v>61</v>
      </c>
      <c r="SZV134" t="s">
        <v>61</v>
      </c>
      <c r="SZW134" t="s">
        <v>61</v>
      </c>
      <c r="SZX134" t="s">
        <v>61</v>
      </c>
      <c r="SZY134" t="s">
        <v>61</v>
      </c>
      <c r="SZZ134" t="s">
        <v>61</v>
      </c>
      <c r="TAA134" t="s">
        <v>61</v>
      </c>
      <c r="TAB134" t="s">
        <v>61</v>
      </c>
      <c r="TAC134" t="s">
        <v>61</v>
      </c>
      <c r="TAD134" t="s">
        <v>61</v>
      </c>
      <c r="TAE134" t="s">
        <v>61</v>
      </c>
      <c r="TAF134" t="s">
        <v>61</v>
      </c>
      <c r="TAG134" t="s">
        <v>61</v>
      </c>
      <c r="TAH134" t="s">
        <v>61</v>
      </c>
      <c r="TAI134" t="s">
        <v>61</v>
      </c>
      <c r="TAJ134" t="s">
        <v>61</v>
      </c>
      <c r="TAK134" t="s">
        <v>61</v>
      </c>
      <c r="TAL134" t="s">
        <v>61</v>
      </c>
      <c r="TAM134" t="s">
        <v>61</v>
      </c>
      <c r="TAN134" t="s">
        <v>61</v>
      </c>
      <c r="TAO134" t="s">
        <v>61</v>
      </c>
      <c r="TAP134" t="s">
        <v>61</v>
      </c>
      <c r="TAQ134" t="s">
        <v>61</v>
      </c>
      <c r="TAR134" t="s">
        <v>61</v>
      </c>
      <c r="TAS134" t="s">
        <v>61</v>
      </c>
      <c r="TAT134" t="s">
        <v>61</v>
      </c>
      <c r="TAU134" t="s">
        <v>61</v>
      </c>
      <c r="TAV134" t="s">
        <v>61</v>
      </c>
      <c r="TAW134" t="s">
        <v>61</v>
      </c>
      <c r="TAX134" t="s">
        <v>61</v>
      </c>
      <c r="TAY134" t="s">
        <v>61</v>
      </c>
      <c r="TAZ134" t="s">
        <v>61</v>
      </c>
      <c r="TBA134" t="s">
        <v>61</v>
      </c>
      <c r="TBB134" t="s">
        <v>61</v>
      </c>
      <c r="TBC134" t="s">
        <v>61</v>
      </c>
      <c r="TBD134" t="s">
        <v>61</v>
      </c>
      <c r="TBE134" t="s">
        <v>61</v>
      </c>
      <c r="TBF134" t="s">
        <v>61</v>
      </c>
      <c r="TBG134" t="s">
        <v>61</v>
      </c>
      <c r="TBH134" t="s">
        <v>61</v>
      </c>
      <c r="TBI134" t="s">
        <v>61</v>
      </c>
      <c r="TBJ134" t="s">
        <v>61</v>
      </c>
      <c r="TBK134" t="s">
        <v>61</v>
      </c>
      <c r="TBL134" t="s">
        <v>61</v>
      </c>
      <c r="TBM134" t="s">
        <v>61</v>
      </c>
      <c r="TBN134" t="s">
        <v>61</v>
      </c>
      <c r="TBO134" t="s">
        <v>61</v>
      </c>
      <c r="TBP134" t="s">
        <v>61</v>
      </c>
      <c r="TBQ134" t="s">
        <v>61</v>
      </c>
      <c r="TBR134" t="s">
        <v>61</v>
      </c>
      <c r="TBS134" t="s">
        <v>61</v>
      </c>
      <c r="TBT134" t="s">
        <v>61</v>
      </c>
      <c r="TBU134" t="s">
        <v>61</v>
      </c>
      <c r="TBV134" t="s">
        <v>61</v>
      </c>
      <c r="TBW134" t="s">
        <v>61</v>
      </c>
      <c r="TBX134" t="s">
        <v>61</v>
      </c>
      <c r="TBY134" t="s">
        <v>61</v>
      </c>
      <c r="TBZ134" t="s">
        <v>61</v>
      </c>
      <c r="TCA134" t="s">
        <v>61</v>
      </c>
      <c r="TCB134" t="s">
        <v>61</v>
      </c>
      <c r="TCC134" t="s">
        <v>61</v>
      </c>
      <c r="TCD134" t="s">
        <v>61</v>
      </c>
      <c r="TCE134" t="s">
        <v>61</v>
      </c>
      <c r="TCF134" t="s">
        <v>61</v>
      </c>
      <c r="TCG134" t="s">
        <v>61</v>
      </c>
      <c r="TCH134" t="s">
        <v>61</v>
      </c>
      <c r="TCI134" t="s">
        <v>61</v>
      </c>
      <c r="TCJ134" t="s">
        <v>61</v>
      </c>
      <c r="TCK134" t="s">
        <v>61</v>
      </c>
      <c r="TCL134" t="s">
        <v>61</v>
      </c>
      <c r="TCM134" t="s">
        <v>61</v>
      </c>
      <c r="TCN134" t="s">
        <v>61</v>
      </c>
      <c r="TCO134" t="s">
        <v>61</v>
      </c>
      <c r="TCP134" t="s">
        <v>61</v>
      </c>
      <c r="TCQ134" t="s">
        <v>61</v>
      </c>
      <c r="TCR134" t="s">
        <v>61</v>
      </c>
      <c r="TCS134" t="s">
        <v>61</v>
      </c>
      <c r="TCT134" t="s">
        <v>61</v>
      </c>
      <c r="TCU134" t="s">
        <v>61</v>
      </c>
      <c r="TCV134" t="s">
        <v>61</v>
      </c>
      <c r="TCW134" t="s">
        <v>61</v>
      </c>
      <c r="TCX134" t="s">
        <v>61</v>
      </c>
      <c r="TCY134" t="s">
        <v>61</v>
      </c>
      <c r="TCZ134" t="s">
        <v>61</v>
      </c>
      <c r="TDA134" t="s">
        <v>61</v>
      </c>
      <c r="TDB134" t="s">
        <v>61</v>
      </c>
      <c r="TDC134" t="s">
        <v>61</v>
      </c>
      <c r="TDD134" t="s">
        <v>61</v>
      </c>
      <c r="TDE134" t="s">
        <v>61</v>
      </c>
      <c r="TDF134" t="s">
        <v>61</v>
      </c>
      <c r="TDG134" t="s">
        <v>61</v>
      </c>
      <c r="TDH134" t="s">
        <v>61</v>
      </c>
      <c r="TDI134" t="s">
        <v>61</v>
      </c>
      <c r="TDJ134" t="s">
        <v>61</v>
      </c>
      <c r="TDK134" t="s">
        <v>61</v>
      </c>
      <c r="TDL134" t="s">
        <v>61</v>
      </c>
      <c r="TDM134" t="s">
        <v>61</v>
      </c>
      <c r="TDN134" t="s">
        <v>61</v>
      </c>
      <c r="TDO134" t="s">
        <v>61</v>
      </c>
      <c r="TDP134" t="s">
        <v>61</v>
      </c>
      <c r="TDQ134" t="s">
        <v>61</v>
      </c>
      <c r="TDR134" t="s">
        <v>61</v>
      </c>
      <c r="TDS134" t="s">
        <v>61</v>
      </c>
      <c r="TDT134" t="s">
        <v>61</v>
      </c>
      <c r="TDU134" t="s">
        <v>61</v>
      </c>
      <c r="TDV134" t="s">
        <v>61</v>
      </c>
      <c r="TDW134" t="s">
        <v>61</v>
      </c>
      <c r="TDX134" t="s">
        <v>61</v>
      </c>
      <c r="TDY134" t="s">
        <v>61</v>
      </c>
      <c r="TDZ134" t="s">
        <v>61</v>
      </c>
      <c r="TEA134" t="s">
        <v>61</v>
      </c>
      <c r="TEB134" t="s">
        <v>61</v>
      </c>
      <c r="TEC134" t="s">
        <v>61</v>
      </c>
      <c r="TED134" t="s">
        <v>61</v>
      </c>
      <c r="TEE134" t="s">
        <v>61</v>
      </c>
      <c r="TEF134" t="s">
        <v>61</v>
      </c>
      <c r="TEG134" t="s">
        <v>61</v>
      </c>
      <c r="TEH134" t="s">
        <v>61</v>
      </c>
      <c r="TEI134" t="s">
        <v>61</v>
      </c>
      <c r="TEJ134" t="s">
        <v>61</v>
      </c>
      <c r="TEK134" t="s">
        <v>61</v>
      </c>
      <c r="TEL134" t="s">
        <v>61</v>
      </c>
      <c r="TEM134" t="s">
        <v>61</v>
      </c>
      <c r="TEN134" t="s">
        <v>61</v>
      </c>
      <c r="TEO134" t="s">
        <v>61</v>
      </c>
      <c r="TEP134" t="s">
        <v>61</v>
      </c>
      <c r="TEQ134" t="s">
        <v>61</v>
      </c>
      <c r="TER134" t="s">
        <v>61</v>
      </c>
      <c r="TES134" t="s">
        <v>61</v>
      </c>
      <c r="TET134" t="s">
        <v>61</v>
      </c>
      <c r="TEU134" t="s">
        <v>61</v>
      </c>
      <c r="TEV134" t="s">
        <v>61</v>
      </c>
      <c r="TEW134" t="s">
        <v>61</v>
      </c>
      <c r="TEX134" t="s">
        <v>61</v>
      </c>
      <c r="TEY134" t="s">
        <v>61</v>
      </c>
      <c r="TEZ134" t="s">
        <v>61</v>
      </c>
      <c r="TFA134" t="s">
        <v>61</v>
      </c>
      <c r="TFB134" t="s">
        <v>61</v>
      </c>
      <c r="TFC134" t="s">
        <v>61</v>
      </c>
      <c r="TFD134" t="s">
        <v>61</v>
      </c>
      <c r="TFE134" t="s">
        <v>61</v>
      </c>
      <c r="TFF134" t="s">
        <v>61</v>
      </c>
      <c r="TFG134" t="s">
        <v>61</v>
      </c>
      <c r="TFH134" t="s">
        <v>61</v>
      </c>
      <c r="TFI134" t="s">
        <v>61</v>
      </c>
      <c r="TFJ134" t="s">
        <v>61</v>
      </c>
      <c r="TFK134" t="s">
        <v>61</v>
      </c>
      <c r="TFL134" t="s">
        <v>61</v>
      </c>
      <c r="TFM134" t="s">
        <v>61</v>
      </c>
      <c r="TFN134" t="s">
        <v>61</v>
      </c>
      <c r="TFO134" t="s">
        <v>61</v>
      </c>
      <c r="TFP134" t="s">
        <v>61</v>
      </c>
      <c r="TFQ134" t="s">
        <v>61</v>
      </c>
      <c r="TFR134" t="s">
        <v>61</v>
      </c>
      <c r="TFS134" t="s">
        <v>61</v>
      </c>
      <c r="TFT134" t="s">
        <v>61</v>
      </c>
      <c r="TFU134" t="s">
        <v>61</v>
      </c>
      <c r="TFV134" t="s">
        <v>61</v>
      </c>
      <c r="TFW134" t="s">
        <v>61</v>
      </c>
      <c r="TFX134" t="s">
        <v>61</v>
      </c>
      <c r="TFY134" t="s">
        <v>61</v>
      </c>
      <c r="TFZ134" t="s">
        <v>61</v>
      </c>
      <c r="TGA134" t="s">
        <v>61</v>
      </c>
      <c r="TGB134" t="s">
        <v>61</v>
      </c>
      <c r="TGC134" t="s">
        <v>61</v>
      </c>
      <c r="TGD134" t="s">
        <v>61</v>
      </c>
      <c r="TGE134" t="s">
        <v>61</v>
      </c>
      <c r="TGF134" t="s">
        <v>61</v>
      </c>
      <c r="TGG134" t="s">
        <v>61</v>
      </c>
      <c r="TGH134" t="s">
        <v>61</v>
      </c>
      <c r="TGI134" t="s">
        <v>61</v>
      </c>
      <c r="TGJ134" t="s">
        <v>61</v>
      </c>
      <c r="TGK134" t="s">
        <v>61</v>
      </c>
      <c r="TGL134" t="s">
        <v>61</v>
      </c>
      <c r="TGM134" t="s">
        <v>61</v>
      </c>
      <c r="TGN134" t="s">
        <v>61</v>
      </c>
      <c r="TGO134" t="s">
        <v>61</v>
      </c>
      <c r="TGP134" t="s">
        <v>61</v>
      </c>
      <c r="TGQ134" t="s">
        <v>61</v>
      </c>
      <c r="TGR134" t="s">
        <v>61</v>
      </c>
      <c r="TGS134" t="s">
        <v>61</v>
      </c>
      <c r="TGT134" t="s">
        <v>61</v>
      </c>
      <c r="TGU134" t="s">
        <v>61</v>
      </c>
      <c r="TGV134" t="s">
        <v>61</v>
      </c>
      <c r="TGW134" t="s">
        <v>61</v>
      </c>
      <c r="TGX134" t="s">
        <v>61</v>
      </c>
      <c r="TGY134" t="s">
        <v>61</v>
      </c>
      <c r="TGZ134" t="s">
        <v>61</v>
      </c>
      <c r="THA134" t="s">
        <v>61</v>
      </c>
      <c r="THB134" t="s">
        <v>61</v>
      </c>
      <c r="THC134" t="s">
        <v>61</v>
      </c>
      <c r="THD134" t="s">
        <v>61</v>
      </c>
      <c r="THE134" t="s">
        <v>61</v>
      </c>
      <c r="THF134" t="s">
        <v>61</v>
      </c>
      <c r="THG134" t="s">
        <v>61</v>
      </c>
      <c r="THH134" t="s">
        <v>61</v>
      </c>
      <c r="THI134" t="s">
        <v>61</v>
      </c>
      <c r="THJ134" t="s">
        <v>61</v>
      </c>
      <c r="THK134" t="s">
        <v>61</v>
      </c>
      <c r="THL134" t="s">
        <v>61</v>
      </c>
      <c r="THM134" t="s">
        <v>61</v>
      </c>
      <c r="THN134" t="s">
        <v>61</v>
      </c>
      <c r="THO134" t="s">
        <v>61</v>
      </c>
      <c r="THP134" t="s">
        <v>61</v>
      </c>
      <c r="THQ134" t="s">
        <v>61</v>
      </c>
      <c r="THR134" t="s">
        <v>61</v>
      </c>
      <c r="THS134" t="s">
        <v>61</v>
      </c>
      <c r="THT134" t="s">
        <v>61</v>
      </c>
      <c r="THU134" t="s">
        <v>61</v>
      </c>
      <c r="THV134" t="s">
        <v>61</v>
      </c>
      <c r="THW134" t="s">
        <v>61</v>
      </c>
      <c r="THX134" t="s">
        <v>61</v>
      </c>
      <c r="THY134" t="s">
        <v>61</v>
      </c>
      <c r="THZ134" t="s">
        <v>61</v>
      </c>
      <c r="TIA134" t="s">
        <v>61</v>
      </c>
      <c r="TIB134" t="s">
        <v>61</v>
      </c>
      <c r="TIC134" t="s">
        <v>61</v>
      </c>
      <c r="TID134" t="s">
        <v>61</v>
      </c>
      <c r="TIE134" t="s">
        <v>61</v>
      </c>
      <c r="TIF134" t="s">
        <v>61</v>
      </c>
      <c r="TIG134" t="s">
        <v>61</v>
      </c>
      <c r="TIH134" t="s">
        <v>61</v>
      </c>
      <c r="TII134" t="s">
        <v>61</v>
      </c>
      <c r="TIJ134" t="s">
        <v>61</v>
      </c>
      <c r="TIK134" t="s">
        <v>61</v>
      </c>
      <c r="TIL134" t="s">
        <v>61</v>
      </c>
      <c r="TIM134" t="s">
        <v>61</v>
      </c>
      <c r="TIN134" t="s">
        <v>61</v>
      </c>
      <c r="TIO134" t="s">
        <v>61</v>
      </c>
      <c r="TIP134" t="s">
        <v>61</v>
      </c>
      <c r="TIQ134" t="s">
        <v>61</v>
      </c>
      <c r="TIR134" t="s">
        <v>61</v>
      </c>
      <c r="TIS134" t="s">
        <v>61</v>
      </c>
      <c r="TIT134" t="s">
        <v>61</v>
      </c>
      <c r="TIU134" t="s">
        <v>61</v>
      </c>
      <c r="TIV134" t="s">
        <v>61</v>
      </c>
      <c r="TIW134" t="s">
        <v>61</v>
      </c>
      <c r="TIX134" t="s">
        <v>61</v>
      </c>
      <c r="TIY134" t="s">
        <v>61</v>
      </c>
      <c r="TIZ134" t="s">
        <v>61</v>
      </c>
      <c r="TJA134" t="s">
        <v>61</v>
      </c>
      <c r="TJB134" t="s">
        <v>61</v>
      </c>
      <c r="TJC134" t="s">
        <v>61</v>
      </c>
      <c r="TJD134" t="s">
        <v>61</v>
      </c>
      <c r="TJE134" t="s">
        <v>61</v>
      </c>
      <c r="TJF134" t="s">
        <v>61</v>
      </c>
      <c r="TJG134" t="s">
        <v>61</v>
      </c>
      <c r="TJH134" t="s">
        <v>61</v>
      </c>
      <c r="TJI134" t="s">
        <v>61</v>
      </c>
      <c r="TJJ134" t="s">
        <v>61</v>
      </c>
      <c r="TJK134" t="s">
        <v>61</v>
      </c>
      <c r="TJL134" t="s">
        <v>61</v>
      </c>
      <c r="TJM134" t="s">
        <v>61</v>
      </c>
      <c r="TJN134" t="s">
        <v>61</v>
      </c>
      <c r="TJO134" t="s">
        <v>61</v>
      </c>
      <c r="TJP134" t="s">
        <v>61</v>
      </c>
      <c r="TJQ134" t="s">
        <v>61</v>
      </c>
      <c r="TJR134" t="s">
        <v>61</v>
      </c>
      <c r="TJS134" t="s">
        <v>61</v>
      </c>
      <c r="TJT134" t="s">
        <v>61</v>
      </c>
      <c r="TJU134" t="s">
        <v>61</v>
      </c>
      <c r="TJV134" t="s">
        <v>61</v>
      </c>
      <c r="TJW134" t="s">
        <v>61</v>
      </c>
      <c r="TJX134" t="s">
        <v>61</v>
      </c>
      <c r="TJY134" t="s">
        <v>61</v>
      </c>
      <c r="TJZ134" t="s">
        <v>61</v>
      </c>
      <c r="TKA134" t="s">
        <v>61</v>
      </c>
      <c r="TKB134" t="s">
        <v>61</v>
      </c>
      <c r="TKC134" t="s">
        <v>61</v>
      </c>
      <c r="TKD134" t="s">
        <v>61</v>
      </c>
      <c r="TKE134" t="s">
        <v>61</v>
      </c>
      <c r="TKF134" t="s">
        <v>61</v>
      </c>
      <c r="TKG134" t="s">
        <v>61</v>
      </c>
      <c r="TKH134" t="s">
        <v>61</v>
      </c>
      <c r="TKI134" t="s">
        <v>61</v>
      </c>
      <c r="TKJ134" t="s">
        <v>61</v>
      </c>
      <c r="TKK134" t="s">
        <v>61</v>
      </c>
      <c r="TKL134" t="s">
        <v>61</v>
      </c>
      <c r="TKM134" t="s">
        <v>61</v>
      </c>
      <c r="TKN134" t="s">
        <v>61</v>
      </c>
      <c r="TKO134" t="s">
        <v>61</v>
      </c>
      <c r="TKP134" t="s">
        <v>61</v>
      </c>
      <c r="TKQ134" t="s">
        <v>61</v>
      </c>
      <c r="TKR134" t="s">
        <v>61</v>
      </c>
      <c r="TKS134" t="s">
        <v>61</v>
      </c>
      <c r="TKT134" t="s">
        <v>61</v>
      </c>
      <c r="TKU134" t="s">
        <v>61</v>
      </c>
      <c r="TKV134" t="s">
        <v>61</v>
      </c>
      <c r="TKW134" t="s">
        <v>61</v>
      </c>
      <c r="TKX134" t="s">
        <v>61</v>
      </c>
      <c r="TKY134" t="s">
        <v>61</v>
      </c>
      <c r="TKZ134" t="s">
        <v>61</v>
      </c>
      <c r="TLA134" t="s">
        <v>61</v>
      </c>
      <c r="TLB134" t="s">
        <v>61</v>
      </c>
      <c r="TLC134" t="s">
        <v>61</v>
      </c>
      <c r="TLD134" t="s">
        <v>61</v>
      </c>
      <c r="TLE134" t="s">
        <v>61</v>
      </c>
      <c r="TLF134" t="s">
        <v>61</v>
      </c>
      <c r="TLG134" t="s">
        <v>61</v>
      </c>
      <c r="TLH134" t="s">
        <v>61</v>
      </c>
      <c r="TLI134" t="s">
        <v>61</v>
      </c>
      <c r="TLJ134" t="s">
        <v>61</v>
      </c>
      <c r="TLK134" t="s">
        <v>61</v>
      </c>
      <c r="TLL134" t="s">
        <v>61</v>
      </c>
      <c r="TLM134" t="s">
        <v>61</v>
      </c>
      <c r="TLN134" t="s">
        <v>61</v>
      </c>
      <c r="TLO134" t="s">
        <v>61</v>
      </c>
      <c r="TLP134" t="s">
        <v>61</v>
      </c>
      <c r="TLQ134" t="s">
        <v>61</v>
      </c>
      <c r="TLR134" t="s">
        <v>61</v>
      </c>
      <c r="TLS134" t="s">
        <v>61</v>
      </c>
      <c r="TLT134" t="s">
        <v>61</v>
      </c>
      <c r="TLU134" t="s">
        <v>61</v>
      </c>
      <c r="TLV134" t="s">
        <v>61</v>
      </c>
      <c r="TLW134" t="s">
        <v>61</v>
      </c>
      <c r="TLX134" t="s">
        <v>61</v>
      </c>
      <c r="TLY134" t="s">
        <v>61</v>
      </c>
      <c r="TLZ134" t="s">
        <v>61</v>
      </c>
      <c r="TMA134" t="s">
        <v>61</v>
      </c>
      <c r="TMB134" t="s">
        <v>61</v>
      </c>
      <c r="TMC134" t="s">
        <v>61</v>
      </c>
      <c r="TMD134" t="s">
        <v>61</v>
      </c>
      <c r="TME134" t="s">
        <v>61</v>
      </c>
      <c r="TMF134" t="s">
        <v>61</v>
      </c>
      <c r="TMG134" t="s">
        <v>61</v>
      </c>
      <c r="TMH134" t="s">
        <v>61</v>
      </c>
      <c r="TMI134" t="s">
        <v>61</v>
      </c>
      <c r="TMJ134" t="s">
        <v>61</v>
      </c>
      <c r="TMK134" t="s">
        <v>61</v>
      </c>
      <c r="TML134" t="s">
        <v>61</v>
      </c>
      <c r="TMM134" t="s">
        <v>61</v>
      </c>
      <c r="TMN134" t="s">
        <v>61</v>
      </c>
      <c r="TMO134" t="s">
        <v>61</v>
      </c>
      <c r="TMP134" t="s">
        <v>61</v>
      </c>
      <c r="TMQ134" t="s">
        <v>61</v>
      </c>
      <c r="TMR134" t="s">
        <v>61</v>
      </c>
      <c r="TMS134" t="s">
        <v>61</v>
      </c>
      <c r="TMT134" t="s">
        <v>61</v>
      </c>
      <c r="TMU134" t="s">
        <v>61</v>
      </c>
      <c r="TMV134" t="s">
        <v>61</v>
      </c>
      <c r="TMW134" t="s">
        <v>61</v>
      </c>
      <c r="TMX134" t="s">
        <v>61</v>
      </c>
      <c r="TMY134" t="s">
        <v>61</v>
      </c>
      <c r="TMZ134" t="s">
        <v>61</v>
      </c>
      <c r="TNA134" t="s">
        <v>61</v>
      </c>
      <c r="TNB134" t="s">
        <v>61</v>
      </c>
      <c r="TNC134" t="s">
        <v>61</v>
      </c>
      <c r="TND134" t="s">
        <v>61</v>
      </c>
      <c r="TNE134" t="s">
        <v>61</v>
      </c>
      <c r="TNF134" t="s">
        <v>61</v>
      </c>
      <c r="TNG134" t="s">
        <v>61</v>
      </c>
      <c r="TNH134" t="s">
        <v>61</v>
      </c>
      <c r="TNI134" t="s">
        <v>61</v>
      </c>
      <c r="TNJ134" t="s">
        <v>61</v>
      </c>
      <c r="TNK134" t="s">
        <v>61</v>
      </c>
      <c r="TNL134" t="s">
        <v>61</v>
      </c>
      <c r="TNM134" t="s">
        <v>61</v>
      </c>
      <c r="TNN134" t="s">
        <v>61</v>
      </c>
      <c r="TNO134" t="s">
        <v>61</v>
      </c>
      <c r="TNP134" t="s">
        <v>61</v>
      </c>
      <c r="TNQ134" t="s">
        <v>61</v>
      </c>
      <c r="TNR134" t="s">
        <v>61</v>
      </c>
      <c r="TNS134" t="s">
        <v>61</v>
      </c>
      <c r="TNT134" t="s">
        <v>61</v>
      </c>
      <c r="TNU134" t="s">
        <v>61</v>
      </c>
      <c r="TNV134" t="s">
        <v>61</v>
      </c>
      <c r="TNW134" t="s">
        <v>61</v>
      </c>
      <c r="TNX134" t="s">
        <v>61</v>
      </c>
      <c r="TNY134" t="s">
        <v>61</v>
      </c>
      <c r="TNZ134" t="s">
        <v>61</v>
      </c>
      <c r="TOA134" t="s">
        <v>61</v>
      </c>
      <c r="TOB134" t="s">
        <v>61</v>
      </c>
      <c r="TOC134" t="s">
        <v>61</v>
      </c>
      <c r="TOD134" t="s">
        <v>61</v>
      </c>
      <c r="TOE134" t="s">
        <v>61</v>
      </c>
      <c r="TOF134" t="s">
        <v>61</v>
      </c>
      <c r="TOG134" t="s">
        <v>61</v>
      </c>
      <c r="TOH134" t="s">
        <v>61</v>
      </c>
      <c r="TOI134" t="s">
        <v>61</v>
      </c>
      <c r="TOJ134" t="s">
        <v>61</v>
      </c>
      <c r="TOK134" t="s">
        <v>61</v>
      </c>
      <c r="TOL134" t="s">
        <v>61</v>
      </c>
      <c r="TOM134" t="s">
        <v>61</v>
      </c>
      <c r="TON134" t="s">
        <v>61</v>
      </c>
      <c r="TOO134" t="s">
        <v>61</v>
      </c>
      <c r="TOP134" t="s">
        <v>61</v>
      </c>
      <c r="TOQ134" t="s">
        <v>61</v>
      </c>
      <c r="TOR134" t="s">
        <v>61</v>
      </c>
      <c r="TOS134" t="s">
        <v>61</v>
      </c>
      <c r="TOT134" t="s">
        <v>61</v>
      </c>
      <c r="TOU134" t="s">
        <v>61</v>
      </c>
      <c r="TOV134" t="s">
        <v>61</v>
      </c>
      <c r="TOW134" t="s">
        <v>61</v>
      </c>
      <c r="TOX134" t="s">
        <v>61</v>
      </c>
      <c r="TOY134" t="s">
        <v>61</v>
      </c>
      <c r="TOZ134" t="s">
        <v>61</v>
      </c>
      <c r="TPA134" t="s">
        <v>61</v>
      </c>
      <c r="TPB134" t="s">
        <v>61</v>
      </c>
      <c r="TPC134" t="s">
        <v>61</v>
      </c>
      <c r="TPD134" t="s">
        <v>61</v>
      </c>
      <c r="TPE134" t="s">
        <v>61</v>
      </c>
      <c r="TPF134" t="s">
        <v>61</v>
      </c>
      <c r="TPG134" t="s">
        <v>61</v>
      </c>
      <c r="TPH134" t="s">
        <v>61</v>
      </c>
      <c r="TPI134" t="s">
        <v>61</v>
      </c>
      <c r="TPJ134" t="s">
        <v>61</v>
      </c>
      <c r="TPK134" t="s">
        <v>61</v>
      </c>
      <c r="TPL134" t="s">
        <v>61</v>
      </c>
      <c r="TPM134" t="s">
        <v>61</v>
      </c>
      <c r="TPN134" t="s">
        <v>61</v>
      </c>
      <c r="TPO134" t="s">
        <v>61</v>
      </c>
      <c r="TPP134" t="s">
        <v>61</v>
      </c>
      <c r="TPQ134" t="s">
        <v>61</v>
      </c>
      <c r="TPR134" t="s">
        <v>61</v>
      </c>
      <c r="TPS134" t="s">
        <v>61</v>
      </c>
      <c r="TPT134" t="s">
        <v>61</v>
      </c>
      <c r="TPU134" t="s">
        <v>61</v>
      </c>
      <c r="TPV134" t="s">
        <v>61</v>
      </c>
      <c r="TPW134" t="s">
        <v>61</v>
      </c>
      <c r="TPX134" t="s">
        <v>61</v>
      </c>
      <c r="TPY134" t="s">
        <v>61</v>
      </c>
      <c r="TPZ134" t="s">
        <v>61</v>
      </c>
      <c r="TQA134" t="s">
        <v>61</v>
      </c>
      <c r="TQB134" t="s">
        <v>61</v>
      </c>
      <c r="TQC134" t="s">
        <v>61</v>
      </c>
      <c r="TQD134" t="s">
        <v>61</v>
      </c>
      <c r="TQE134" t="s">
        <v>61</v>
      </c>
      <c r="TQF134" t="s">
        <v>61</v>
      </c>
      <c r="TQG134" t="s">
        <v>61</v>
      </c>
      <c r="TQH134" t="s">
        <v>61</v>
      </c>
      <c r="TQI134" t="s">
        <v>61</v>
      </c>
      <c r="TQJ134" t="s">
        <v>61</v>
      </c>
      <c r="TQK134" t="s">
        <v>61</v>
      </c>
      <c r="TQL134" t="s">
        <v>61</v>
      </c>
      <c r="TQM134" t="s">
        <v>61</v>
      </c>
      <c r="TQN134" t="s">
        <v>61</v>
      </c>
      <c r="TQO134" t="s">
        <v>61</v>
      </c>
      <c r="TQP134" t="s">
        <v>61</v>
      </c>
      <c r="TQQ134" t="s">
        <v>61</v>
      </c>
      <c r="TQR134" t="s">
        <v>61</v>
      </c>
      <c r="TQS134" t="s">
        <v>61</v>
      </c>
      <c r="TQT134" t="s">
        <v>61</v>
      </c>
      <c r="TQU134" t="s">
        <v>61</v>
      </c>
      <c r="TQV134" t="s">
        <v>61</v>
      </c>
      <c r="TQW134" t="s">
        <v>61</v>
      </c>
      <c r="TQX134" t="s">
        <v>61</v>
      </c>
      <c r="TQY134" t="s">
        <v>61</v>
      </c>
      <c r="TQZ134" t="s">
        <v>61</v>
      </c>
      <c r="TRA134" t="s">
        <v>61</v>
      </c>
      <c r="TRB134" t="s">
        <v>61</v>
      </c>
      <c r="TRC134" t="s">
        <v>61</v>
      </c>
      <c r="TRD134" t="s">
        <v>61</v>
      </c>
      <c r="TRE134" t="s">
        <v>61</v>
      </c>
      <c r="TRF134" t="s">
        <v>61</v>
      </c>
      <c r="TRG134" t="s">
        <v>61</v>
      </c>
      <c r="TRH134" t="s">
        <v>61</v>
      </c>
      <c r="TRI134" t="s">
        <v>61</v>
      </c>
      <c r="TRJ134" t="s">
        <v>61</v>
      </c>
      <c r="TRK134" t="s">
        <v>61</v>
      </c>
      <c r="TRL134" t="s">
        <v>61</v>
      </c>
      <c r="TRM134" t="s">
        <v>61</v>
      </c>
      <c r="TRN134" t="s">
        <v>61</v>
      </c>
      <c r="TRO134" t="s">
        <v>61</v>
      </c>
      <c r="TRP134" t="s">
        <v>61</v>
      </c>
      <c r="TRQ134" t="s">
        <v>61</v>
      </c>
      <c r="TRR134" t="s">
        <v>61</v>
      </c>
      <c r="TRS134" t="s">
        <v>61</v>
      </c>
      <c r="TRT134" t="s">
        <v>61</v>
      </c>
      <c r="TRU134" t="s">
        <v>61</v>
      </c>
      <c r="TRV134" t="s">
        <v>61</v>
      </c>
      <c r="TRW134" t="s">
        <v>61</v>
      </c>
      <c r="TRX134" t="s">
        <v>61</v>
      </c>
      <c r="TRY134" t="s">
        <v>61</v>
      </c>
      <c r="TRZ134" t="s">
        <v>61</v>
      </c>
      <c r="TSA134" t="s">
        <v>61</v>
      </c>
      <c r="TSB134" t="s">
        <v>61</v>
      </c>
      <c r="TSC134" t="s">
        <v>61</v>
      </c>
      <c r="TSD134" t="s">
        <v>61</v>
      </c>
      <c r="TSE134" t="s">
        <v>61</v>
      </c>
      <c r="TSF134" t="s">
        <v>61</v>
      </c>
      <c r="TSG134" t="s">
        <v>61</v>
      </c>
      <c r="TSH134" t="s">
        <v>61</v>
      </c>
      <c r="TSI134" t="s">
        <v>61</v>
      </c>
      <c r="TSJ134" t="s">
        <v>61</v>
      </c>
      <c r="TSK134" t="s">
        <v>61</v>
      </c>
      <c r="TSL134" t="s">
        <v>61</v>
      </c>
      <c r="TSM134" t="s">
        <v>61</v>
      </c>
      <c r="TSN134" t="s">
        <v>61</v>
      </c>
      <c r="TSO134" t="s">
        <v>61</v>
      </c>
      <c r="TSP134" t="s">
        <v>61</v>
      </c>
      <c r="TSQ134" t="s">
        <v>61</v>
      </c>
      <c r="TSR134" t="s">
        <v>61</v>
      </c>
      <c r="TSS134" t="s">
        <v>61</v>
      </c>
      <c r="TST134" t="s">
        <v>61</v>
      </c>
      <c r="TSU134" t="s">
        <v>61</v>
      </c>
      <c r="TSV134" t="s">
        <v>61</v>
      </c>
      <c r="TSW134" t="s">
        <v>61</v>
      </c>
      <c r="TSX134" t="s">
        <v>61</v>
      </c>
      <c r="TSY134" t="s">
        <v>61</v>
      </c>
      <c r="TSZ134" t="s">
        <v>61</v>
      </c>
      <c r="TTA134" t="s">
        <v>61</v>
      </c>
      <c r="TTB134" t="s">
        <v>61</v>
      </c>
      <c r="TTC134" t="s">
        <v>61</v>
      </c>
      <c r="TTD134" t="s">
        <v>61</v>
      </c>
      <c r="TTE134" t="s">
        <v>61</v>
      </c>
      <c r="TTF134" t="s">
        <v>61</v>
      </c>
      <c r="TTG134" t="s">
        <v>61</v>
      </c>
      <c r="TTH134" t="s">
        <v>61</v>
      </c>
      <c r="TTI134" t="s">
        <v>61</v>
      </c>
      <c r="TTJ134" t="s">
        <v>61</v>
      </c>
      <c r="TTK134" t="s">
        <v>61</v>
      </c>
      <c r="TTL134" t="s">
        <v>61</v>
      </c>
      <c r="TTM134" t="s">
        <v>61</v>
      </c>
      <c r="TTN134" t="s">
        <v>61</v>
      </c>
      <c r="TTO134" t="s">
        <v>61</v>
      </c>
      <c r="TTP134" t="s">
        <v>61</v>
      </c>
      <c r="TTQ134" t="s">
        <v>61</v>
      </c>
      <c r="TTR134" t="s">
        <v>61</v>
      </c>
      <c r="TTS134" t="s">
        <v>61</v>
      </c>
      <c r="TTT134" t="s">
        <v>61</v>
      </c>
      <c r="TTU134" t="s">
        <v>61</v>
      </c>
      <c r="TTV134" t="s">
        <v>61</v>
      </c>
      <c r="TTW134" t="s">
        <v>61</v>
      </c>
      <c r="TTX134" t="s">
        <v>61</v>
      </c>
      <c r="TTY134" t="s">
        <v>61</v>
      </c>
      <c r="TTZ134" t="s">
        <v>61</v>
      </c>
      <c r="TUA134" t="s">
        <v>61</v>
      </c>
      <c r="TUB134" t="s">
        <v>61</v>
      </c>
      <c r="TUC134" t="s">
        <v>61</v>
      </c>
      <c r="TUD134" t="s">
        <v>61</v>
      </c>
      <c r="TUE134" t="s">
        <v>61</v>
      </c>
      <c r="TUF134" t="s">
        <v>61</v>
      </c>
      <c r="TUG134" t="s">
        <v>61</v>
      </c>
      <c r="TUH134" t="s">
        <v>61</v>
      </c>
      <c r="TUI134" t="s">
        <v>61</v>
      </c>
      <c r="TUJ134" t="s">
        <v>61</v>
      </c>
      <c r="TUK134" t="s">
        <v>61</v>
      </c>
      <c r="TUL134" t="s">
        <v>61</v>
      </c>
      <c r="TUM134" t="s">
        <v>61</v>
      </c>
      <c r="TUN134" t="s">
        <v>61</v>
      </c>
      <c r="TUO134" t="s">
        <v>61</v>
      </c>
      <c r="TUP134" t="s">
        <v>61</v>
      </c>
      <c r="TUQ134" t="s">
        <v>61</v>
      </c>
      <c r="TUR134" t="s">
        <v>61</v>
      </c>
      <c r="TUS134" t="s">
        <v>61</v>
      </c>
      <c r="TUT134" t="s">
        <v>61</v>
      </c>
      <c r="TUU134" t="s">
        <v>61</v>
      </c>
      <c r="TUV134" t="s">
        <v>61</v>
      </c>
      <c r="TUW134" t="s">
        <v>61</v>
      </c>
      <c r="TUX134" t="s">
        <v>61</v>
      </c>
      <c r="TUY134" t="s">
        <v>61</v>
      </c>
      <c r="TUZ134" t="s">
        <v>61</v>
      </c>
      <c r="TVA134" t="s">
        <v>61</v>
      </c>
      <c r="TVB134" t="s">
        <v>61</v>
      </c>
      <c r="TVC134" t="s">
        <v>61</v>
      </c>
      <c r="TVD134" t="s">
        <v>61</v>
      </c>
      <c r="TVE134" t="s">
        <v>61</v>
      </c>
      <c r="TVF134" t="s">
        <v>61</v>
      </c>
      <c r="TVG134" t="s">
        <v>61</v>
      </c>
      <c r="TVH134" t="s">
        <v>61</v>
      </c>
      <c r="TVI134" t="s">
        <v>61</v>
      </c>
      <c r="TVJ134" t="s">
        <v>61</v>
      </c>
      <c r="TVK134" t="s">
        <v>61</v>
      </c>
      <c r="TVL134" t="s">
        <v>61</v>
      </c>
      <c r="TVM134" t="s">
        <v>61</v>
      </c>
      <c r="TVN134" t="s">
        <v>61</v>
      </c>
      <c r="TVO134" t="s">
        <v>61</v>
      </c>
      <c r="TVP134" t="s">
        <v>61</v>
      </c>
      <c r="TVQ134" t="s">
        <v>61</v>
      </c>
      <c r="TVR134" t="s">
        <v>61</v>
      </c>
      <c r="TVS134" t="s">
        <v>61</v>
      </c>
      <c r="TVT134" t="s">
        <v>61</v>
      </c>
      <c r="TVU134" t="s">
        <v>61</v>
      </c>
      <c r="TVV134" t="s">
        <v>61</v>
      </c>
      <c r="TVW134" t="s">
        <v>61</v>
      </c>
      <c r="TVX134" t="s">
        <v>61</v>
      </c>
      <c r="TVY134" t="s">
        <v>61</v>
      </c>
      <c r="TVZ134" t="s">
        <v>61</v>
      </c>
      <c r="TWA134" t="s">
        <v>61</v>
      </c>
      <c r="TWB134" t="s">
        <v>61</v>
      </c>
      <c r="TWC134" t="s">
        <v>61</v>
      </c>
      <c r="TWD134" t="s">
        <v>61</v>
      </c>
      <c r="TWE134" t="s">
        <v>61</v>
      </c>
      <c r="TWF134" t="s">
        <v>61</v>
      </c>
      <c r="TWG134" t="s">
        <v>61</v>
      </c>
      <c r="TWH134" t="s">
        <v>61</v>
      </c>
      <c r="TWI134" t="s">
        <v>61</v>
      </c>
      <c r="TWJ134" t="s">
        <v>61</v>
      </c>
      <c r="TWK134" t="s">
        <v>61</v>
      </c>
      <c r="TWL134" t="s">
        <v>61</v>
      </c>
      <c r="TWM134" t="s">
        <v>61</v>
      </c>
      <c r="TWN134" t="s">
        <v>61</v>
      </c>
      <c r="TWO134" t="s">
        <v>61</v>
      </c>
      <c r="TWP134" t="s">
        <v>61</v>
      </c>
      <c r="TWQ134" t="s">
        <v>61</v>
      </c>
      <c r="TWR134" t="s">
        <v>61</v>
      </c>
      <c r="TWS134" t="s">
        <v>61</v>
      </c>
      <c r="TWT134" t="s">
        <v>61</v>
      </c>
      <c r="TWU134" t="s">
        <v>61</v>
      </c>
      <c r="TWV134" t="s">
        <v>61</v>
      </c>
      <c r="TWW134" t="s">
        <v>61</v>
      </c>
      <c r="TWX134" t="s">
        <v>61</v>
      </c>
      <c r="TWY134" t="s">
        <v>61</v>
      </c>
      <c r="TWZ134" t="s">
        <v>61</v>
      </c>
      <c r="TXA134" t="s">
        <v>61</v>
      </c>
      <c r="TXB134" t="s">
        <v>61</v>
      </c>
      <c r="TXC134" t="s">
        <v>61</v>
      </c>
      <c r="TXD134" t="s">
        <v>61</v>
      </c>
      <c r="TXE134" t="s">
        <v>61</v>
      </c>
      <c r="TXF134" t="s">
        <v>61</v>
      </c>
      <c r="TXG134" t="s">
        <v>61</v>
      </c>
      <c r="TXH134" t="s">
        <v>61</v>
      </c>
      <c r="TXI134" t="s">
        <v>61</v>
      </c>
      <c r="TXJ134" t="s">
        <v>61</v>
      </c>
      <c r="TXK134" t="s">
        <v>61</v>
      </c>
      <c r="TXL134" t="s">
        <v>61</v>
      </c>
      <c r="TXM134" t="s">
        <v>61</v>
      </c>
      <c r="TXN134" t="s">
        <v>61</v>
      </c>
      <c r="TXO134" t="s">
        <v>61</v>
      </c>
      <c r="TXP134" t="s">
        <v>61</v>
      </c>
      <c r="TXQ134" t="s">
        <v>61</v>
      </c>
      <c r="TXR134" t="s">
        <v>61</v>
      </c>
      <c r="TXS134" t="s">
        <v>61</v>
      </c>
      <c r="TXT134" t="s">
        <v>61</v>
      </c>
      <c r="TXU134" t="s">
        <v>61</v>
      </c>
      <c r="TXV134" t="s">
        <v>61</v>
      </c>
      <c r="TXW134" t="s">
        <v>61</v>
      </c>
      <c r="TXX134" t="s">
        <v>61</v>
      </c>
      <c r="TXY134" t="s">
        <v>61</v>
      </c>
      <c r="TXZ134" t="s">
        <v>61</v>
      </c>
      <c r="TYA134" t="s">
        <v>61</v>
      </c>
      <c r="TYB134" t="s">
        <v>61</v>
      </c>
      <c r="TYC134" t="s">
        <v>61</v>
      </c>
      <c r="TYD134" t="s">
        <v>61</v>
      </c>
      <c r="TYE134" t="s">
        <v>61</v>
      </c>
      <c r="TYF134" t="s">
        <v>61</v>
      </c>
      <c r="TYG134" t="s">
        <v>61</v>
      </c>
      <c r="TYH134" t="s">
        <v>61</v>
      </c>
      <c r="TYI134" t="s">
        <v>61</v>
      </c>
      <c r="TYJ134" t="s">
        <v>61</v>
      </c>
      <c r="TYK134" t="s">
        <v>61</v>
      </c>
      <c r="TYL134" t="s">
        <v>61</v>
      </c>
      <c r="TYM134" t="s">
        <v>61</v>
      </c>
      <c r="TYN134" t="s">
        <v>61</v>
      </c>
      <c r="TYO134" t="s">
        <v>61</v>
      </c>
      <c r="TYP134" t="s">
        <v>61</v>
      </c>
      <c r="TYQ134" t="s">
        <v>61</v>
      </c>
      <c r="TYR134" t="s">
        <v>61</v>
      </c>
      <c r="TYS134" t="s">
        <v>61</v>
      </c>
      <c r="TYT134" t="s">
        <v>61</v>
      </c>
      <c r="TYU134" t="s">
        <v>61</v>
      </c>
      <c r="TYV134" t="s">
        <v>61</v>
      </c>
      <c r="TYW134" t="s">
        <v>61</v>
      </c>
      <c r="TYX134" t="s">
        <v>61</v>
      </c>
      <c r="TYY134" t="s">
        <v>61</v>
      </c>
      <c r="TYZ134" t="s">
        <v>61</v>
      </c>
      <c r="TZA134" t="s">
        <v>61</v>
      </c>
      <c r="TZB134" t="s">
        <v>61</v>
      </c>
      <c r="TZC134" t="s">
        <v>61</v>
      </c>
      <c r="TZD134" t="s">
        <v>61</v>
      </c>
      <c r="TZE134" t="s">
        <v>61</v>
      </c>
      <c r="TZF134" t="s">
        <v>61</v>
      </c>
      <c r="TZG134" t="s">
        <v>61</v>
      </c>
      <c r="TZH134" t="s">
        <v>61</v>
      </c>
      <c r="TZI134" t="s">
        <v>61</v>
      </c>
      <c r="TZJ134" t="s">
        <v>61</v>
      </c>
      <c r="TZK134" t="s">
        <v>61</v>
      </c>
      <c r="TZL134" t="s">
        <v>61</v>
      </c>
      <c r="TZM134" t="s">
        <v>61</v>
      </c>
      <c r="TZN134" t="s">
        <v>61</v>
      </c>
      <c r="TZO134" t="s">
        <v>61</v>
      </c>
      <c r="TZP134" t="s">
        <v>61</v>
      </c>
      <c r="TZQ134" t="s">
        <v>61</v>
      </c>
      <c r="TZR134" t="s">
        <v>61</v>
      </c>
      <c r="TZS134" t="s">
        <v>61</v>
      </c>
      <c r="TZT134" t="s">
        <v>61</v>
      </c>
      <c r="TZU134" t="s">
        <v>61</v>
      </c>
      <c r="TZV134" t="s">
        <v>61</v>
      </c>
      <c r="TZW134" t="s">
        <v>61</v>
      </c>
      <c r="TZX134" t="s">
        <v>61</v>
      </c>
      <c r="TZY134" t="s">
        <v>61</v>
      </c>
      <c r="TZZ134" t="s">
        <v>61</v>
      </c>
      <c r="UAA134" t="s">
        <v>61</v>
      </c>
      <c r="UAB134" t="s">
        <v>61</v>
      </c>
      <c r="UAC134" t="s">
        <v>61</v>
      </c>
      <c r="UAD134" t="s">
        <v>61</v>
      </c>
      <c r="UAE134" t="s">
        <v>61</v>
      </c>
      <c r="UAF134" t="s">
        <v>61</v>
      </c>
      <c r="UAG134" t="s">
        <v>61</v>
      </c>
      <c r="UAH134" t="s">
        <v>61</v>
      </c>
      <c r="UAI134" t="s">
        <v>61</v>
      </c>
      <c r="UAJ134" t="s">
        <v>61</v>
      </c>
      <c r="UAK134" t="s">
        <v>61</v>
      </c>
      <c r="UAL134" t="s">
        <v>61</v>
      </c>
      <c r="UAM134" t="s">
        <v>61</v>
      </c>
      <c r="UAN134" t="s">
        <v>61</v>
      </c>
      <c r="UAO134" t="s">
        <v>61</v>
      </c>
      <c r="UAP134" t="s">
        <v>61</v>
      </c>
      <c r="UAQ134" t="s">
        <v>61</v>
      </c>
      <c r="UAR134" t="s">
        <v>61</v>
      </c>
      <c r="UAS134" t="s">
        <v>61</v>
      </c>
      <c r="UAT134" t="s">
        <v>61</v>
      </c>
      <c r="UAU134" t="s">
        <v>61</v>
      </c>
      <c r="UAV134" t="s">
        <v>61</v>
      </c>
      <c r="UAW134" t="s">
        <v>61</v>
      </c>
      <c r="UAX134" t="s">
        <v>61</v>
      </c>
      <c r="UAY134" t="s">
        <v>61</v>
      </c>
      <c r="UAZ134" t="s">
        <v>61</v>
      </c>
      <c r="UBA134" t="s">
        <v>61</v>
      </c>
      <c r="UBB134" t="s">
        <v>61</v>
      </c>
      <c r="UBC134" t="s">
        <v>61</v>
      </c>
      <c r="UBD134" t="s">
        <v>61</v>
      </c>
      <c r="UBE134" t="s">
        <v>61</v>
      </c>
      <c r="UBF134" t="s">
        <v>61</v>
      </c>
      <c r="UBG134" t="s">
        <v>61</v>
      </c>
      <c r="UBH134" t="s">
        <v>61</v>
      </c>
      <c r="UBI134" t="s">
        <v>61</v>
      </c>
      <c r="UBJ134" t="s">
        <v>61</v>
      </c>
      <c r="UBK134" t="s">
        <v>61</v>
      </c>
      <c r="UBL134" t="s">
        <v>61</v>
      </c>
      <c r="UBM134" t="s">
        <v>61</v>
      </c>
      <c r="UBN134" t="s">
        <v>61</v>
      </c>
      <c r="UBO134" t="s">
        <v>61</v>
      </c>
      <c r="UBP134" t="s">
        <v>61</v>
      </c>
      <c r="UBQ134" t="s">
        <v>61</v>
      </c>
      <c r="UBR134" t="s">
        <v>61</v>
      </c>
      <c r="UBS134" t="s">
        <v>61</v>
      </c>
      <c r="UBT134" t="s">
        <v>61</v>
      </c>
      <c r="UBU134" t="s">
        <v>61</v>
      </c>
      <c r="UBV134" t="s">
        <v>61</v>
      </c>
      <c r="UBW134" t="s">
        <v>61</v>
      </c>
      <c r="UBX134" t="s">
        <v>61</v>
      </c>
      <c r="UBY134" t="s">
        <v>61</v>
      </c>
      <c r="UBZ134" t="s">
        <v>61</v>
      </c>
      <c r="UCA134" t="s">
        <v>61</v>
      </c>
      <c r="UCB134" t="s">
        <v>61</v>
      </c>
      <c r="UCC134" t="s">
        <v>61</v>
      </c>
      <c r="UCD134" t="s">
        <v>61</v>
      </c>
      <c r="UCE134" t="s">
        <v>61</v>
      </c>
      <c r="UCF134" t="s">
        <v>61</v>
      </c>
      <c r="UCG134" t="s">
        <v>61</v>
      </c>
      <c r="UCH134" t="s">
        <v>61</v>
      </c>
      <c r="UCI134" t="s">
        <v>61</v>
      </c>
      <c r="UCJ134" t="s">
        <v>61</v>
      </c>
      <c r="UCK134" t="s">
        <v>61</v>
      </c>
      <c r="UCL134" t="s">
        <v>61</v>
      </c>
      <c r="UCM134" t="s">
        <v>61</v>
      </c>
      <c r="UCN134" t="s">
        <v>61</v>
      </c>
      <c r="UCO134" t="s">
        <v>61</v>
      </c>
      <c r="UCP134" t="s">
        <v>61</v>
      </c>
      <c r="UCQ134" t="s">
        <v>61</v>
      </c>
      <c r="UCR134" t="s">
        <v>61</v>
      </c>
      <c r="UCS134" t="s">
        <v>61</v>
      </c>
      <c r="UCT134" t="s">
        <v>61</v>
      </c>
      <c r="UCU134" t="s">
        <v>61</v>
      </c>
      <c r="UCV134" t="s">
        <v>61</v>
      </c>
      <c r="UCW134" t="s">
        <v>61</v>
      </c>
      <c r="UCX134" t="s">
        <v>61</v>
      </c>
      <c r="UCY134" t="s">
        <v>61</v>
      </c>
      <c r="UCZ134" t="s">
        <v>61</v>
      </c>
      <c r="UDA134" t="s">
        <v>61</v>
      </c>
      <c r="UDB134" t="s">
        <v>61</v>
      </c>
      <c r="UDC134" t="s">
        <v>61</v>
      </c>
      <c r="UDD134" t="s">
        <v>61</v>
      </c>
      <c r="UDE134" t="s">
        <v>61</v>
      </c>
      <c r="UDF134" t="s">
        <v>61</v>
      </c>
      <c r="UDG134" t="s">
        <v>61</v>
      </c>
      <c r="UDH134" t="s">
        <v>61</v>
      </c>
      <c r="UDI134" t="s">
        <v>61</v>
      </c>
      <c r="UDJ134" t="s">
        <v>61</v>
      </c>
      <c r="UDK134" t="s">
        <v>61</v>
      </c>
      <c r="UDL134" t="s">
        <v>61</v>
      </c>
      <c r="UDM134" t="s">
        <v>61</v>
      </c>
      <c r="UDN134" t="s">
        <v>61</v>
      </c>
      <c r="UDO134" t="s">
        <v>61</v>
      </c>
      <c r="UDP134" t="s">
        <v>61</v>
      </c>
      <c r="UDQ134" t="s">
        <v>61</v>
      </c>
      <c r="UDR134" t="s">
        <v>61</v>
      </c>
      <c r="UDS134" t="s">
        <v>61</v>
      </c>
      <c r="UDT134" t="s">
        <v>61</v>
      </c>
      <c r="UDU134" t="s">
        <v>61</v>
      </c>
      <c r="UDV134" t="s">
        <v>61</v>
      </c>
      <c r="UDW134" t="s">
        <v>61</v>
      </c>
      <c r="UDX134" t="s">
        <v>61</v>
      </c>
      <c r="UDY134" t="s">
        <v>61</v>
      </c>
      <c r="UDZ134" t="s">
        <v>61</v>
      </c>
      <c r="UEA134" t="s">
        <v>61</v>
      </c>
      <c r="UEB134" t="s">
        <v>61</v>
      </c>
      <c r="UEC134" t="s">
        <v>61</v>
      </c>
      <c r="UED134" t="s">
        <v>61</v>
      </c>
      <c r="UEE134" t="s">
        <v>61</v>
      </c>
      <c r="UEF134" t="s">
        <v>61</v>
      </c>
      <c r="UEG134" t="s">
        <v>61</v>
      </c>
      <c r="UEH134" t="s">
        <v>61</v>
      </c>
      <c r="UEI134" t="s">
        <v>61</v>
      </c>
      <c r="UEJ134" t="s">
        <v>61</v>
      </c>
      <c r="UEK134" t="s">
        <v>61</v>
      </c>
      <c r="UEL134" t="s">
        <v>61</v>
      </c>
      <c r="UEM134" t="s">
        <v>61</v>
      </c>
      <c r="UEN134" t="s">
        <v>61</v>
      </c>
      <c r="UEO134" t="s">
        <v>61</v>
      </c>
      <c r="UEP134" t="s">
        <v>61</v>
      </c>
      <c r="UEQ134" t="s">
        <v>61</v>
      </c>
      <c r="UER134" t="s">
        <v>61</v>
      </c>
      <c r="UES134" t="s">
        <v>61</v>
      </c>
      <c r="UET134" t="s">
        <v>61</v>
      </c>
      <c r="UEU134" t="s">
        <v>61</v>
      </c>
      <c r="UEV134" t="s">
        <v>61</v>
      </c>
      <c r="UEW134" t="s">
        <v>61</v>
      </c>
      <c r="UEX134" t="s">
        <v>61</v>
      </c>
      <c r="UEY134" t="s">
        <v>61</v>
      </c>
      <c r="UEZ134" t="s">
        <v>61</v>
      </c>
      <c r="UFA134" t="s">
        <v>61</v>
      </c>
      <c r="UFB134" t="s">
        <v>61</v>
      </c>
      <c r="UFC134" t="s">
        <v>61</v>
      </c>
      <c r="UFD134" t="s">
        <v>61</v>
      </c>
      <c r="UFE134" t="s">
        <v>61</v>
      </c>
      <c r="UFF134" t="s">
        <v>61</v>
      </c>
      <c r="UFG134" t="s">
        <v>61</v>
      </c>
      <c r="UFH134" t="s">
        <v>61</v>
      </c>
      <c r="UFI134" t="s">
        <v>61</v>
      </c>
      <c r="UFJ134" t="s">
        <v>61</v>
      </c>
      <c r="UFK134" t="s">
        <v>61</v>
      </c>
      <c r="UFL134" t="s">
        <v>61</v>
      </c>
      <c r="UFM134" t="s">
        <v>61</v>
      </c>
      <c r="UFN134" t="s">
        <v>61</v>
      </c>
      <c r="UFO134" t="s">
        <v>61</v>
      </c>
      <c r="UFP134" t="s">
        <v>61</v>
      </c>
      <c r="UFQ134" t="s">
        <v>61</v>
      </c>
      <c r="UFR134" t="s">
        <v>61</v>
      </c>
      <c r="UFS134" t="s">
        <v>61</v>
      </c>
      <c r="UFT134" t="s">
        <v>61</v>
      </c>
      <c r="UFU134" t="s">
        <v>61</v>
      </c>
      <c r="UFV134" t="s">
        <v>61</v>
      </c>
      <c r="UFW134" t="s">
        <v>61</v>
      </c>
      <c r="UFX134" t="s">
        <v>61</v>
      </c>
      <c r="UFY134" t="s">
        <v>61</v>
      </c>
      <c r="UFZ134" t="s">
        <v>61</v>
      </c>
      <c r="UGA134" t="s">
        <v>61</v>
      </c>
      <c r="UGB134" t="s">
        <v>61</v>
      </c>
      <c r="UGC134" t="s">
        <v>61</v>
      </c>
      <c r="UGD134" t="s">
        <v>61</v>
      </c>
      <c r="UGE134" t="s">
        <v>61</v>
      </c>
      <c r="UGF134" t="s">
        <v>61</v>
      </c>
      <c r="UGG134" t="s">
        <v>61</v>
      </c>
      <c r="UGH134" t="s">
        <v>61</v>
      </c>
      <c r="UGI134" t="s">
        <v>61</v>
      </c>
      <c r="UGJ134" t="s">
        <v>61</v>
      </c>
      <c r="UGK134" t="s">
        <v>61</v>
      </c>
      <c r="UGL134" t="s">
        <v>61</v>
      </c>
      <c r="UGM134" t="s">
        <v>61</v>
      </c>
      <c r="UGN134" t="s">
        <v>61</v>
      </c>
      <c r="UGO134" t="s">
        <v>61</v>
      </c>
      <c r="UGP134" t="s">
        <v>61</v>
      </c>
      <c r="UGQ134" t="s">
        <v>61</v>
      </c>
      <c r="UGR134" t="s">
        <v>61</v>
      </c>
      <c r="UGS134" t="s">
        <v>61</v>
      </c>
      <c r="UGT134" t="s">
        <v>61</v>
      </c>
      <c r="UGU134" t="s">
        <v>61</v>
      </c>
      <c r="UGV134" t="s">
        <v>61</v>
      </c>
      <c r="UGW134" t="s">
        <v>61</v>
      </c>
      <c r="UGX134" t="s">
        <v>61</v>
      </c>
      <c r="UGY134" t="s">
        <v>61</v>
      </c>
      <c r="UGZ134" t="s">
        <v>61</v>
      </c>
      <c r="UHA134" t="s">
        <v>61</v>
      </c>
      <c r="UHB134" t="s">
        <v>61</v>
      </c>
      <c r="UHC134" t="s">
        <v>61</v>
      </c>
      <c r="UHD134" t="s">
        <v>61</v>
      </c>
      <c r="UHE134" t="s">
        <v>61</v>
      </c>
      <c r="UHF134" t="s">
        <v>61</v>
      </c>
      <c r="UHG134" t="s">
        <v>61</v>
      </c>
      <c r="UHH134" t="s">
        <v>61</v>
      </c>
      <c r="UHI134" t="s">
        <v>61</v>
      </c>
      <c r="UHJ134" t="s">
        <v>61</v>
      </c>
      <c r="UHK134" t="s">
        <v>61</v>
      </c>
      <c r="UHL134" t="s">
        <v>61</v>
      </c>
      <c r="UHM134" t="s">
        <v>61</v>
      </c>
      <c r="UHN134" t="s">
        <v>61</v>
      </c>
      <c r="UHO134" t="s">
        <v>61</v>
      </c>
      <c r="UHP134" t="s">
        <v>61</v>
      </c>
      <c r="UHQ134" t="s">
        <v>61</v>
      </c>
      <c r="UHR134" t="s">
        <v>61</v>
      </c>
      <c r="UHS134" t="s">
        <v>61</v>
      </c>
      <c r="UHT134" t="s">
        <v>61</v>
      </c>
      <c r="UHU134" t="s">
        <v>61</v>
      </c>
      <c r="UHV134" t="s">
        <v>61</v>
      </c>
      <c r="UHW134" t="s">
        <v>61</v>
      </c>
      <c r="UHX134" t="s">
        <v>61</v>
      </c>
      <c r="UHY134" t="s">
        <v>61</v>
      </c>
      <c r="UHZ134" t="s">
        <v>61</v>
      </c>
      <c r="UIA134" t="s">
        <v>61</v>
      </c>
      <c r="UIB134" t="s">
        <v>61</v>
      </c>
      <c r="UIC134" t="s">
        <v>61</v>
      </c>
      <c r="UID134" t="s">
        <v>61</v>
      </c>
      <c r="UIE134" t="s">
        <v>61</v>
      </c>
      <c r="UIF134" t="s">
        <v>61</v>
      </c>
      <c r="UIG134" t="s">
        <v>61</v>
      </c>
      <c r="UIH134" t="s">
        <v>61</v>
      </c>
      <c r="UII134" t="s">
        <v>61</v>
      </c>
      <c r="UIJ134" t="s">
        <v>61</v>
      </c>
      <c r="UIK134" t="s">
        <v>61</v>
      </c>
      <c r="UIL134" t="s">
        <v>61</v>
      </c>
      <c r="UIM134" t="s">
        <v>61</v>
      </c>
      <c r="UIN134" t="s">
        <v>61</v>
      </c>
      <c r="UIO134" t="s">
        <v>61</v>
      </c>
      <c r="UIP134" t="s">
        <v>61</v>
      </c>
      <c r="UIQ134" t="s">
        <v>61</v>
      </c>
      <c r="UIR134" t="s">
        <v>61</v>
      </c>
      <c r="UIS134" t="s">
        <v>61</v>
      </c>
      <c r="UIT134" t="s">
        <v>61</v>
      </c>
      <c r="UIU134" t="s">
        <v>61</v>
      </c>
      <c r="UIV134" t="s">
        <v>61</v>
      </c>
      <c r="UIW134" t="s">
        <v>61</v>
      </c>
      <c r="UIX134" t="s">
        <v>61</v>
      </c>
      <c r="UIY134" t="s">
        <v>61</v>
      </c>
      <c r="UIZ134" t="s">
        <v>61</v>
      </c>
      <c r="UJA134" t="s">
        <v>61</v>
      </c>
      <c r="UJB134" t="s">
        <v>61</v>
      </c>
      <c r="UJC134" t="s">
        <v>61</v>
      </c>
      <c r="UJD134" t="s">
        <v>61</v>
      </c>
      <c r="UJE134" t="s">
        <v>61</v>
      </c>
      <c r="UJF134" t="s">
        <v>61</v>
      </c>
      <c r="UJG134" t="s">
        <v>61</v>
      </c>
      <c r="UJH134" t="s">
        <v>61</v>
      </c>
      <c r="UJI134" t="s">
        <v>61</v>
      </c>
      <c r="UJJ134" t="s">
        <v>61</v>
      </c>
      <c r="UJK134" t="s">
        <v>61</v>
      </c>
      <c r="UJL134" t="s">
        <v>61</v>
      </c>
      <c r="UJM134" t="s">
        <v>61</v>
      </c>
      <c r="UJN134" t="s">
        <v>61</v>
      </c>
      <c r="UJO134" t="s">
        <v>61</v>
      </c>
      <c r="UJP134" t="s">
        <v>61</v>
      </c>
      <c r="UJQ134" t="s">
        <v>61</v>
      </c>
      <c r="UJR134" t="s">
        <v>61</v>
      </c>
      <c r="UJS134" t="s">
        <v>61</v>
      </c>
      <c r="UJT134" t="s">
        <v>61</v>
      </c>
      <c r="UJU134" t="s">
        <v>61</v>
      </c>
      <c r="UJV134" t="s">
        <v>61</v>
      </c>
      <c r="UJW134" t="s">
        <v>61</v>
      </c>
      <c r="UJX134" t="s">
        <v>61</v>
      </c>
      <c r="UJY134" t="s">
        <v>61</v>
      </c>
      <c r="UJZ134" t="s">
        <v>61</v>
      </c>
      <c r="UKA134" t="s">
        <v>61</v>
      </c>
      <c r="UKB134" t="s">
        <v>61</v>
      </c>
      <c r="UKC134" t="s">
        <v>61</v>
      </c>
      <c r="UKD134" t="s">
        <v>61</v>
      </c>
      <c r="UKE134" t="s">
        <v>61</v>
      </c>
      <c r="UKF134" t="s">
        <v>61</v>
      </c>
      <c r="UKG134" t="s">
        <v>61</v>
      </c>
      <c r="UKH134" t="s">
        <v>61</v>
      </c>
      <c r="UKI134" t="s">
        <v>61</v>
      </c>
      <c r="UKJ134" t="s">
        <v>61</v>
      </c>
      <c r="UKK134" t="s">
        <v>61</v>
      </c>
      <c r="UKL134" t="s">
        <v>61</v>
      </c>
      <c r="UKM134" t="s">
        <v>61</v>
      </c>
      <c r="UKN134" t="s">
        <v>61</v>
      </c>
      <c r="UKO134" t="s">
        <v>61</v>
      </c>
      <c r="UKP134" t="s">
        <v>61</v>
      </c>
      <c r="UKQ134" t="s">
        <v>61</v>
      </c>
      <c r="UKR134" t="s">
        <v>61</v>
      </c>
      <c r="UKS134" t="s">
        <v>61</v>
      </c>
      <c r="UKT134" t="s">
        <v>61</v>
      </c>
      <c r="UKU134" t="s">
        <v>61</v>
      </c>
      <c r="UKV134" t="s">
        <v>61</v>
      </c>
      <c r="UKW134" t="s">
        <v>61</v>
      </c>
      <c r="UKX134" t="s">
        <v>61</v>
      </c>
      <c r="UKY134" t="s">
        <v>61</v>
      </c>
      <c r="UKZ134" t="s">
        <v>61</v>
      </c>
      <c r="ULA134" t="s">
        <v>61</v>
      </c>
      <c r="ULB134" t="s">
        <v>61</v>
      </c>
      <c r="ULC134" t="s">
        <v>61</v>
      </c>
      <c r="ULD134" t="s">
        <v>61</v>
      </c>
      <c r="ULE134" t="s">
        <v>61</v>
      </c>
      <c r="ULF134" t="s">
        <v>61</v>
      </c>
      <c r="ULG134" t="s">
        <v>61</v>
      </c>
      <c r="ULH134" t="s">
        <v>61</v>
      </c>
      <c r="ULI134" t="s">
        <v>61</v>
      </c>
      <c r="ULJ134" t="s">
        <v>61</v>
      </c>
      <c r="ULK134" t="s">
        <v>61</v>
      </c>
      <c r="ULL134" t="s">
        <v>61</v>
      </c>
      <c r="ULM134" t="s">
        <v>61</v>
      </c>
      <c r="ULN134" t="s">
        <v>61</v>
      </c>
      <c r="ULO134" t="s">
        <v>61</v>
      </c>
      <c r="ULP134" t="s">
        <v>61</v>
      </c>
      <c r="ULQ134" t="s">
        <v>61</v>
      </c>
      <c r="ULR134" t="s">
        <v>61</v>
      </c>
      <c r="ULS134" t="s">
        <v>61</v>
      </c>
      <c r="ULT134" t="s">
        <v>61</v>
      </c>
      <c r="ULU134" t="s">
        <v>61</v>
      </c>
      <c r="ULV134" t="s">
        <v>61</v>
      </c>
      <c r="ULW134" t="s">
        <v>61</v>
      </c>
      <c r="ULX134" t="s">
        <v>61</v>
      </c>
      <c r="ULY134" t="s">
        <v>61</v>
      </c>
      <c r="ULZ134" t="s">
        <v>61</v>
      </c>
      <c r="UMA134" t="s">
        <v>61</v>
      </c>
      <c r="UMB134" t="s">
        <v>61</v>
      </c>
      <c r="UMC134" t="s">
        <v>61</v>
      </c>
      <c r="UMD134" t="s">
        <v>61</v>
      </c>
      <c r="UME134" t="s">
        <v>61</v>
      </c>
      <c r="UMF134" t="s">
        <v>61</v>
      </c>
      <c r="UMG134" t="s">
        <v>61</v>
      </c>
      <c r="UMH134" t="s">
        <v>61</v>
      </c>
      <c r="UMI134" t="s">
        <v>61</v>
      </c>
      <c r="UMJ134" t="s">
        <v>61</v>
      </c>
      <c r="UMK134" t="s">
        <v>61</v>
      </c>
      <c r="UML134" t="s">
        <v>61</v>
      </c>
      <c r="UMM134" t="s">
        <v>61</v>
      </c>
      <c r="UMN134" t="s">
        <v>61</v>
      </c>
      <c r="UMO134" t="s">
        <v>61</v>
      </c>
      <c r="UMP134" t="s">
        <v>61</v>
      </c>
      <c r="UMQ134" t="s">
        <v>61</v>
      </c>
      <c r="UMR134" t="s">
        <v>61</v>
      </c>
      <c r="UMS134" t="s">
        <v>61</v>
      </c>
      <c r="UMT134" t="s">
        <v>61</v>
      </c>
      <c r="UMU134" t="s">
        <v>61</v>
      </c>
      <c r="UMV134" t="s">
        <v>61</v>
      </c>
      <c r="UMW134" t="s">
        <v>61</v>
      </c>
      <c r="UMX134" t="s">
        <v>61</v>
      </c>
      <c r="UMY134" t="s">
        <v>61</v>
      </c>
      <c r="UMZ134" t="s">
        <v>61</v>
      </c>
      <c r="UNA134" t="s">
        <v>61</v>
      </c>
      <c r="UNB134" t="s">
        <v>61</v>
      </c>
      <c r="UNC134" t="s">
        <v>61</v>
      </c>
      <c r="UND134" t="s">
        <v>61</v>
      </c>
      <c r="UNE134" t="s">
        <v>61</v>
      </c>
      <c r="UNF134" t="s">
        <v>61</v>
      </c>
      <c r="UNG134" t="s">
        <v>61</v>
      </c>
      <c r="UNH134" t="s">
        <v>61</v>
      </c>
      <c r="UNI134" t="s">
        <v>61</v>
      </c>
      <c r="UNJ134" t="s">
        <v>61</v>
      </c>
      <c r="UNK134" t="s">
        <v>61</v>
      </c>
      <c r="UNL134" t="s">
        <v>61</v>
      </c>
      <c r="UNM134" t="s">
        <v>61</v>
      </c>
      <c r="UNN134" t="s">
        <v>61</v>
      </c>
      <c r="UNO134" t="s">
        <v>61</v>
      </c>
      <c r="UNP134" t="s">
        <v>61</v>
      </c>
      <c r="UNQ134" t="s">
        <v>61</v>
      </c>
      <c r="UNR134" t="s">
        <v>61</v>
      </c>
      <c r="UNS134" t="s">
        <v>61</v>
      </c>
      <c r="UNT134" t="s">
        <v>61</v>
      </c>
      <c r="UNU134" t="s">
        <v>61</v>
      </c>
      <c r="UNV134" t="s">
        <v>61</v>
      </c>
      <c r="UNW134" t="s">
        <v>61</v>
      </c>
      <c r="UNX134" t="s">
        <v>61</v>
      </c>
      <c r="UNY134" t="s">
        <v>61</v>
      </c>
      <c r="UNZ134" t="s">
        <v>61</v>
      </c>
      <c r="UOA134" t="s">
        <v>61</v>
      </c>
      <c r="UOB134" t="s">
        <v>61</v>
      </c>
      <c r="UOC134" t="s">
        <v>61</v>
      </c>
      <c r="UOD134" t="s">
        <v>61</v>
      </c>
      <c r="UOE134" t="s">
        <v>61</v>
      </c>
      <c r="UOF134" t="s">
        <v>61</v>
      </c>
      <c r="UOG134" t="s">
        <v>61</v>
      </c>
      <c r="UOH134" t="s">
        <v>61</v>
      </c>
      <c r="UOI134" t="s">
        <v>61</v>
      </c>
      <c r="UOJ134" t="s">
        <v>61</v>
      </c>
      <c r="UOK134" t="s">
        <v>61</v>
      </c>
      <c r="UOL134" t="s">
        <v>61</v>
      </c>
      <c r="UOM134" t="s">
        <v>61</v>
      </c>
      <c r="UON134" t="s">
        <v>61</v>
      </c>
      <c r="UOO134" t="s">
        <v>61</v>
      </c>
      <c r="UOP134" t="s">
        <v>61</v>
      </c>
      <c r="UOQ134" t="s">
        <v>61</v>
      </c>
      <c r="UOR134" t="s">
        <v>61</v>
      </c>
      <c r="UOS134" t="s">
        <v>61</v>
      </c>
      <c r="UOT134" t="s">
        <v>61</v>
      </c>
      <c r="UOU134" t="s">
        <v>61</v>
      </c>
      <c r="UOV134" t="s">
        <v>61</v>
      </c>
      <c r="UOW134" t="s">
        <v>61</v>
      </c>
      <c r="UOX134" t="s">
        <v>61</v>
      </c>
      <c r="UOY134" t="s">
        <v>61</v>
      </c>
      <c r="UOZ134" t="s">
        <v>61</v>
      </c>
      <c r="UPA134" t="s">
        <v>61</v>
      </c>
      <c r="UPB134" t="s">
        <v>61</v>
      </c>
      <c r="UPC134" t="s">
        <v>61</v>
      </c>
      <c r="UPD134" t="s">
        <v>61</v>
      </c>
      <c r="UPE134" t="s">
        <v>61</v>
      </c>
      <c r="UPF134" t="s">
        <v>61</v>
      </c>
      <c r="UPG134" t="s">
        <v>61</v>
      </c>
      <c r="UPH134" t="s">
        <v>61</v>
      </c>
      <c r="UPI134" t="s">
        <v>61</v>
      </c>
      <c r="UPJ134" t="s">
        <v>61</v>
      </c>
      <c r="UPK134" t="s">
        <v>61</v>
      </c>
      <c r="UPL134" t="s">
        <v>61</v>
      </c>
      <c r="UPM134" t="s">
        <v>61</v>
      </c>
      <c r="UPN134" t="s">
        <v>61</v>
      </c>
      <c r="UPO134" t="s">
        <v>61</v>
      </c>
      <c r="UPP134" t="s">
        <v>61</v>
      </c>
      <c r="UPQ134" t="s">
        <v>61</v>
      </c>
      <c r="UPR134" t="s">
        <v>61</v>
      </c>
      <c r="UPS134" t="s">
        <v>61</v>
      </c>
      <c r="UPT134" t="s">
        <v>61</v>
      </c>
      <c r="UPU134" t="s">
        <v>61</v>
      </c>
      <c r="UPV134" t="s">
        <v>61</v>
      </c>
      <c r="UPW134" t="s">
        <v>61</v>
      </c>
      <c r="UPX134" t="s">
        <v>61</v>
      </c>
      <c r="UPY134" t="s">
        <v>61</v>
      </c>
      <c r="UPZ134" t="s">
        <v>61</v>
      </c>
      <c r="UQA134" t="s">
        <v>61</v>
      </c>
      <c r="UQB134" t="s">
        <v>61</v>
      </c>
      <c r="UQC134" t="s">
        <v>61</v>
      </c>
      <c r="UQD134" t="s">
        <v>61</v>
      </c>
      <c r="UQE134" t="s">
        <v>61</v>
      </c>
      <c r="UQF134" t="s">
        <v>61</v>
      </c>
      <c r="UQG134" t="s">
        <v>61</v>
      </c>
      <c r="UQH134" t="s">
        <v>61</v>
      </c>
      <c r="UQI134" t="s">
        <v>61</v>
      </c>
      <c r="UQJ134" t="s">
        <v>61</v>
      </c>
      <c r="UQK134" t="s">
        <v>61</v>
      </c>
      <c r="UQL134" t="s">
        <v>61</v>
      </c>
      <c r="UQM134" t="s">
        <v>61</v>
      </c>
      <c r="UQN134" t="s">
        <v>61</v>
      </c>
      <c r="UQO134" t="s">
        <v>61</v>
      </c>
      <c r="UQP134" t="s">
        <v>61</v>
      </c>
      <c r="UQQ134" t="s">
        <v>61</v>
      </c>
      <c r="UQR134" t="s">
        <v>61</v>
      </c>
      <c r="UQS134" t="s">
        <v>61</v>
      </c>
      <c r="UQT134" t="s">
        <v>61</v>
      </c>
      <c r="UQU134" t="s">
        <v>61</v>
      </c>
      <c r="UQV134" t="s">
        <v>61</v>
      </c>
      <c r="UQW134" t="s">
        <v>61</v>
      </c>
      <c r="UQX134" t="s">
        <v>61</v>
      </c>
      <c r="UQY134" t="s">
        <v>61</v>
      </c>
      <c r="UQZ134" t="s">
        <v>61</v>
      </c>
      <c r="URA134" t="s">
        <v>61</v>
      </c>
      <c r="URB134" t="s">
        <v>61</v>
      </c>
      <c r="URC134" t="s">
        <v>61</v>
      </c>
      <c r="URD134" t="s">
        <v>61</v>
      </c>
      <c r="URE134" t="s">
        <v>61</v>
      </c>
      <c r="URF134" t="s">
        <v>61</v>
      </c>
      <c r="URG134" t="s">
        <v>61</v>
      </c>
      <c r="URH134" t="s">
        <v>61</v>
      </c>
      <c r="URI134" t="s">
        <v>61</v>
      </c>
      <c r="URJ134" t="s">
        <v>61</v>
      </c>
      <c r="URK134" t="s">
        <v>61</v>
      </c>
      <c r="URL134" t="s">
        <v>61</v>
      </c>
      <c r="URM134" t="s">
        <v>61</v>
      </c>
      <c r="URN134" t="s">
        <v>61</v>
      </c>
      <c r="URO134" t="s">
        <v>61</v>
      </c>
      <c r="URP134" t="s">
        <v>61</v>
      </c>
      <c r="URQ134" t="s">
        <v>61</v>
      </c>
      <c r="URR134" t="s">
        <v>61</v>
      </c>
      <c r="URS134" t="s">
        <v>61</v>
      </c>
      <c r="URT134" t="s">
        <v>61</v>
      </c>
      <c r="URU134" t="s">
        <v>61</v>
      </c>
      <c r="URV134" t="s">
        <v>61</v>
      </c>
      <c r="URW134" t="s">
        <v>61</v>
      </c>
      <c r="URX134" t="s">
        <v>61</v>
      </c>
      <c r="URY134" t="s">
        <v>61</v>
      </c>
      <c r="URZ134" t="s">
        <v>61</v>
      </c>
      <c r="USA134" t="s">
        <v>61</v>
      </c>
      <c r="USB134" t="s">
        <v>61</v>
      </c>
      <c r="USC134" t="s">
        <v>61</v>
      </c>
      <c r="USD134" t="s">
        <v>61</v>
      </c>
      <c r="USE134" t="s">
        <v>61</v>
      </c>
      <c r="USF134" t="s">
        <v>61</v>
      </c>
      <c r="USG134" t="s">
        <v>61</v>
      </c>
      <c r="USH134" t="s">
        <v>61</v>
      </c>
      <c r="USI134" t="s">
        <v>61</v>
      </c>
      <c r="USJ134" t="s">
        <v>61</v>
      </c>
      <c r="USK134" t="s">
        <v>61</v>
      </c>
      <c r="USL134" t="s">
        <v>61</v>
      </c>
      <c r="USM134" t="s">
        <v>61</v>
      </c>
      <c r="USN134" t="s">
        <v>61</v>
      </c>
      <c r="USO134" t="s">
        <v>61</v>
      </c>
      <c r="USP134" t="s">
        <v>61</v>
      </c>
      <c r="USQ134" t="s">
        <v>61</v>
      </c>
      <c r="USR134" t="s">
        <v>61</v>
      </c>
      <c r="USS134" t="s">
        <v>61</v>
      </c>
      <c r="UST134" t="s">
        <v>61</v>
      </c>
      <c r="USU134" t="s">
        <v>61</v>
      </c>
      <c r="USV134" t="s">
        <v>61</v>
      </c>
      <c r="USW134" t="s">
        <v>61</v>
      </c>
      <c r="USX134" t="s">
        <v>61</v>
      </c>
      <c r="USY134" t="s">
        <v>61</v>
      </c>
      <c r="USZ134" t="s">
        <v>61</v>
      </c>
      <c r="UTA134" t="s">
        <v>61</v>
      </c>
      <c r="UTB134" t="s">
        <v>61</v>
      </c>
      <c r="UTC134" t="s">
        <v>61</v>
      </c>
      <c r="UTD134" t="s">
        <v>61</v>
      </c>
      <c r="UTE134" t="s">
        <v>61</v>
      </c>
      <c r="UTF134" t="s">
        <v>61</v>
      </c>
      <c r="UTG134" t="s">
        <v>61</v>
      </c>
      <c r="UTH134" t="s">
        <v>61</v>
      </c>
      <c r="UTI134" t="s">
        <v>61</v>
      </c>
      <c r="UTJ134" t="s">
        <v>61</v>
      </c>
      <c r="UTK134" t="s">
        <v>61</v>
      </c>
      <c r="UTL134" t="s">
        <v>61</v>
      </c>
      <c r="UTM134" t="s">
        <v>61</v>
      </c>
      <c r="UTN134" t="s">
        <v>61</v>
      </c>
      <c r="UTO134" t="s">
        <v>61</v>
      </c>
      <c r="UTP134" t="s">
        <v>61</v>
      </c>
      <c r="UTQ134" t="s">
        <v>61</v>
      </c>
      <c r="UTR134" t="s">
        <v>61</v>
      </c>
      <c r="UTS134" t="s">
        <v>61</v>
      </c>
      <c r="UTT134" t="s">
        <v>61</v>
      </c>
      <c r="UTU134" t="s">
        <v>61</v>
      </c>
      <c r="UTV134" t="s">
        <v>61</v>
      </c>
      <c r="UTW134" t="s">
        <v>61</v>
      </c>
      <c r="UTX134" t="s">
        <v>61</v>
      </c>
      <c r="UTY134" t="s">
        <v>61</v>
      </c>
      <c r="UTZ134" t="s">
        <v>61</v>
      </c>
      <c r="UUA134" t="s">
        <v>61</v>
      </c>
      <c r="UUB134" t="s">
        <v>61</v>
      </c>
      <c r="UUC134" t="s">
        <v>61</v>
      </c>
      <c r="UUD134" t="s">
        <v>61</v>
      </c>
      <c r="UUE134" t="s">
        <v>61</v>
      </c>
      <c r="UUF134" t="s">
        <v>61</v>
      </c>
      <c r="UUG134" t="s">
        <v>61</v>
      </c>
      <c r="UUH134" t="s">
        <v>61</v>
      </c>
      <c r="UUI134" t="s">
        <v>61</v>
      </c>
      <c r="UUJ134" t="s">
        <v>61</v>
      </c>
      <c r="UUK134" t="s">
        <v>61</v>
      </c>
      <c r="UUL134" t="s">
        <v>61</v>
      </c>
      <c r="UUM134" t="s">
        <v>61</v>
      </c>
      <c r="UUN134" t="s">
        <v>61</v>
      </c>
      <c r="UUO134" t="s">
        <v>61</v>
      </c>
      <c r="UUP134" t="s">
        <v>61</v>
      </c>
      <c r="UUQ134" t="s">
        <v>61</v>
      </c>
      <c r="UUR134" t="s">
        <v>61</v>
      </c>
      <c r="UUS134" t="s">
        <v>61</v>
      </c>
      <c r="UUT134" t="s">
        <v>61</v>
      </c>
      <c r="UUU134" t="s">
        <v>61</v>
      </c>
      <c r="UUV134" t="s">
        <v>61</v>
      </c>
      <c r="UUW134" t="s">
        <v>61</v>
      </c>
      <c r="UUX134" t="s">
        <v>61</v>
      </c>
      <c r="UUY134" t="s">
        <v>61</v>
      </c>
      <c r="UUZ134" t="s">
        <v>61</v>
      </c>
      <c r="UVA134" t="s">
        <v>61</v>
      </c>
      <c r="UVB134" t="s">
        <v>61</v>
      </c>
      <c r="UVC134" t="s">
        <v>61</v>
      </c>
      <c r="UVD134" t="s">
        <v>61</v>
      </c>
      <c r="UVE134" t="s">
        <v>61</v>
      </c>
      <c r="UVF134" t="s">
        <v>61</v>
      </c>
      <c r="UVG134" t="s">
        <v>61</v>
      </c>
      <c r="UVH134" t="s">
        <v>61</v>
      </c>
      <c r="UVI134" t="s">
        <v>61</v>
      </c>
      <c r="UVJ134" t="s">
        <v>61</v>
      </c>
      <c r="UVK134" t="s">
        <v>61</v>
      </c>
      <c r="UVL134" t="s">
        <v>61</v>
      </c>
      <c r="UVM134" t="s">
        <v>61</v>
      </c>
      <c r="UVN134" t="s">
        <v>61</v>
      </c>
      <c r="UVO134" t="s">
        <v>61</v>
      </c>
      <c r="UVP134" t="s">
        <v>61</v>
      </c>
      <c r="UVQ134" t="s">
        <v>61</v>
      </c>
      <c r="UVR134" t="s">
        <v>61</v>
      </c>
      <c r="UVS134" t="s">
        <v>61</v>
      </c>
      <c r="UVT134" t="s">
        <v>61</v>
      </c>
      <c r="UVU134" t="s">
        <v>61</v>
      </c>
      <c r="UVV134" t="s">
        <v>61</v>
      </c>
      <c r="UVW134" t="s">
        <v>61</v>
      </c>
      <c r="UVX134" t="s">
        <v>61</v>
      </c>
      <c r="UVY134" t="s">
        <v>61</v>
      </c>
      <c r="UVZ134" t="s">
        <v>61</v>
      </c>
      <c r="UWA134" t="s">
        <v>61</v>
      </c>
      <c r="UWB134" t="s">
        <v>61</v>
      </c>
      <c r="UWC134" t="s">
        <v>61</v>
      </c>
      <c r="UWD134" t="s">
        <v>61</v>
      </c>
      <c r="UWE134" t="s">
        <v>61</v>
      </c>
      <c r="UWF134" t="s">
        <v>61</v>
      </c>
      <c r="UWG134" t="s">
        <v>61</v>
      </c>
      <c r="UWH134" t="s">
        <v>61</v>
      </c>
      <c r="UWI134" t="s">
        <v>61</v>
      </c>
      <c r="UWJ134" t="s">
        <v>61</v>
      </c>
      <c r="UWK134" t="s">
        <v>61</v>
      </c>
      <c r="UWL134" t="s">
        <v>61</v>
      </c>
      <c r="UWM134" t="s">
        <v>61</v>
      </c>
      <c r="UWN134" t="s">
        <v>61</v>
      </c>
      <c r="UWO134" t="s">
        <v>61</v>
      </c>
      <c r="UWP134" t="s">
        <v>61</v>
      </c>
      <c r="UWQ134" t="s">
        <v>61</v>
      </c>
      <c r="UWR134" t="s">
        <v>61</v>
      </c>
      <c r="UWS134" t="s">
        <v>61</v>
      </c>
      <c r="UWT134" t="s">
        <v>61</v>
      </c>
      <c r="UWU134" t="s">
        <v>61</v>
      </c>
      <c r="UWV134" t="s">
        <v>61</v>
      </c>
      <c r="UWW134" t="s">
        <v>61</v>
      </c>
      <c r="UWX134" t="s">
        <v>61</v>
      </c>
      <c r="UWY134" t="s">
        <v>61</v>
      </c>
      <c r="UWZ134" t="s">
        <v>61</v>
      </c>
      <c r="UXA134" t="s">
        <v>61</v>
      </c>
      <c r="UXB134" t="s">
        <v>61</v>
      </c>
      <c r="UXC134" t="s">
        <v>61</v>
      </c>
      <c r="UXD134" t="s">
        <v>61</v>
      </c>
      <c r="UXE134" t="s">
        <v>61</v>
      </c>
      <c r="UXF134" t="s">
        <v>61</v>
      </c>
      <c r="UXG134" t="s">
        <v>61</v>
      </c>
      <c r="UXH134" t="s">
        <v>61</v>
      </c>
      <c r="UXI134" t="s">
        <v>61</v>
      </c>
      <c r="UXJ134" t="s">
        <v>61</v>
      </c>
      <c r="UXK134" t="s">
        <v>61</v>
      </c>
      <c r="UXL134" t="s">
        <v>61</v>
      </c>
      <c r="UXM134" t="s">
        <v>61</v>
      </c>
      <c r="UXN134" t="s">
        <v>61</v>
      </c>
      <c r="UXO134" t="s">
        <v>61</v>
      </c>
      <c r="UXP134" t="s">
        <v>61</v>
      </c>
      <c r="UXQ134" t="s">
        <v>61</v>
      </c>
      <c r="UXR134" t="s">
        <v>61</v>
      </c>
      <c r="UXS134" t="s">
        <v>61</v>
      </c>
      <c r="UXT134" t="s">
        <v>61</v>
      </c>
      <c r="UXU134" t="s">
        <v>61</v>
      </c>
      <c r="UXV134" t="s">
        <v>61</v>
      </c>
      <c r="UXW134" t="s">
        <v>61</v>
      </c>
      <c r="UXX134" t="s">
        <v>61</v>
      </c>
      <c r="UXY134" t="s">
        <v>61</v>
      </c>
      <c r="UXZ134" t="s">
        <v>61</v>
      </c>
      <c r="UYA134" t="s">
        <v>61</v>
      </c>
      <c r="UYB134" t="s">
        <v>61</v>
      </c>
      <c r="UYC134" t="s">
        <v>61</v>
      </c>
      <c r="UYD134" t="s">
        <v>61</v>
      </c>
      <c r="UYE134" t="s">
        <v>61</v>
      </c>
      <c r="UYF134" t="s">
        <v>61</v>
      </c>
      <c r="UYG134" t="s">
        <v>61</v>
      </c>
      <c r="UYH134" t="s">
        <v>61</v>
      </c>
      <c r="UYI134" t="s">
        <v>61</v>
      </c>
      <c r="UYJ134" t="s">
        <v>61</v>
      </c>
      <c r="UYK134" t="s">
        <v>61</v>
      </c>
      <c r="UYL134" t="s">
        <v>61</v>
      </c>
      <c r="UYM134" t="s">
        <v>61</v>
      </c>
      <c r="UYN134" t="s">
        <v>61</v>
      </c>
      <c r="UYO134" t="s">
        <v>61</v>
      </c>
      <c r="UYP134" t="s">
        <v>61</v>
      </c>
      <c r="UYQ134" t="s">
        <v>61</v>
      </c>
      <c r="UYR134" t="s">
        <v>61</v>
      </c>
      <c r="UYS134" t="s">
        <v>61</v>
      </c>
      <c r="UYT134" t="s">
        <v>61</v>
      </c>
      <c r="UYU134" t="s">
        <v>61</v>
      </c>
      <c r="UYV134" t="s">
        <v>61</v>
      </c>
      <c r="UYW134" t="s">
        <v>61</v>
      </c>
      <c r="UYX134" t="s">
        <v>61</v>
      </c>
      <c r="UYY134" t="s">
        <v>61</v>
      </c>
      <c r="UYZ134" t="s">
        <v>61</v>
      </c>
      <c r="UZA134" t="s">
        <v>61</v>
      </c>
      <c r="UZB134" t="s">
        <v>61</v>
      </c>
      <c r="UZC134" t="s">
        <v>61</v>
      </c>
      <c r="UZD134" t="s">
        <v>61</v>
      </c>
      <c r="UZE134" t="s">
        <v>61</v>
      </c>
      <c r="UZF134" t="s">
        <v>61</v>
      </c>
      <c r="UZG134" t="s">
        <v>61</v>
      </c>
      <c r="UZH134" t="s">
        <v>61</v>
      </c>
      <c r="UZI134" t="s">
        <v>61</v>
      </c>
      <c r="UZJ134" t="s">
        <v>61</v>
      </c>
      <c r="UZK134" t="s">
        <v>61</v>
      </c>
      <c r="UZL134" t="s">
        <v>61</v>
      </c>
      <c r="UZM134" t="s">
        <v>61</v>
      </c>
      <c r="UZN134" t="s">
        <v>61</v>
      </c>
      <c r="UZO134" t="s">
        <v>61</v>
      </c>
      <c r="UZP134" t="s">
        <v>61</v>
      </c>
      <c r="UZQ134" t="s">
        <v>61</v>
      </c>
      <c r="UZR134" t="s">
        <v>61</v>
      </c>
      <c r="UZS134" t="s">
        <v>61</v>
      </c>
      <c r="UZT134" t="s">
        <v>61</v>
      </c>
      <c r="UZU134" t="s">
        <v>61</v>
      </c>
      <c r="UZV134" t="s">
        <v>61</v>
      </c>
      <c r="UZW134" t="s">
        <v>61</v>
      </c>
      <c r="UZX134" t="s">
        <v>61</v>
      </c>
      <c r="UZY134" t="s">
        <v>61</v>
      </c>
      <c r="UZZ134" t="s">
        <v>61</v>
      </c>
      <c r="VAA134" t="s">
        <v>61</v>
      </c>
      <c r="VAB134" t="s">
        <v>61</v>
      </c>
      <c r="VAC134" t="s">
        <v>61</v>
      </c>
      <c r="VAD134" t="s">
        <v>61</v>
      </c>
      <c r="VAE134" t="s">
        <v>61</v>
      </c>
      <c r="VAF134" t="s">
        <v>61</v>
      </c>
      <c r="VAG134" t="s">
        <v>61</v>
      </c>
      <c r="VAH134" t="s">
        <v>61</v>
      </c>
      <c r="VAI134" t="s">
        <v>61</v>
      </c>
      <c r="VAJ134" t="s">
        <v>61</v>
      </c>
      <c r="VAK134" t="s">
        <v>61</v>
      </c>
      <c r="VAL134" t="s">
        <v>61</v>
      </c>
      <c r="VAM134" t="s">
        <v>61</v>
      </c>
      <c r="VAN134" t="s">
        <v>61</v>
      </c>
      <c r="VAO134" t="s">
        <v>61</v>
      </c>
      <c r="VAP134" t="s">
        <v>61</v>
      </c>
      <c r="VAQ134" t="s">
        <v>61</v>
      </c>
      <c r="VAR134" t="s">
        <v>61</v>
      </c>
      <c r="VAS134" t="s">
        <v>61</v>
      </c>
      <c r="VAT134" t="s">
        <v>61</v>
      </c>
      <c r="VAU134" t="s">
        <v>61</v>
      </c>
      <c r="VAV134" t="s">
        <v>61</v>
      </c>
      <c r="VAW134" t="s">
        <v>61</v>
      </c>
      <c r="VAX134" t="s">
        <v>61</v>
      </c>
      <c r="VAY134" t="s">
        <v>61</v>
      </c>
      <c r="VAZ134" t="s">
        <v>61</v>
      </c>
      <c r="VBA134" t="s">
        <v>61</v>
      </c>
      <c r="VBB134" t="s">
        <v>61</v>
      </c>
      <c r="VBC134" t="s">
        <v>61</v>
      </c>
      <c r="VBD134" t="s">
        <v>61</v>
      </c>
      <c r="VBE134" t="s">
        <v>61</v>
      </c>
      <c r="VBF134" t="s">
        <v>61</v>
      </c>
      <c r="VBG134" t="s">
        <v>61</v>
      </c>
      <c r="VBH134" t="s">
        <v>61</v>
      </c>
      <c r="VBI134" t="s">
        <v>61</v>
      </c>
      <c r="VBJ134" t="s">
        <v>61</v>
      </c>
      <c r="VBK134" t="s">
        <v>61</v>
      </c>
      <c r="VBL134" t="s">
        <v>61</v>
      </c>
      <c r="VBM134" t="s">
        <v>61</v>
      </c>
      <c r="VBN134" t="s">
        <v>61</v>
      </c>
      <c r="VBO134" t="s">
        <v>61</v>
      </c>
      <c r="VBP134" t="s">
        <v>61</v>
      </c>
      <c r="VBQ134" t="s">
        <v>61</v>
      </c>
      <c r="VBR134" t="s">
        <v>61</v>
      </c>
      <c r="VBS134" t="s">
        <v>61</v>
      </c>
      <c r="VBT134" t="s">
        <v>61</v>
      </c>
      <c r="VBU134" t="s">
        <v>61</v>
      </c>
      <c r="VBV134" t="s">
        <v>61</v>
      </c>
      <c r="VBW134" t="s">
        <v>61</v>
      </c>
      <c r="VBX134" t="s">
        <v>61</v>
      </c>
      <c r="VBY134" t="s">
        <v>61</v>
      </c>
      <c r="VBZ134" t="s">
        <v>61</v>
      </c>
      <c r="VCA134" t="s">
        <v>61</v>
      </c>
      <c r="VCB134" t="s">
        <v>61</v>
      </c>
      <c r="VCC134" t="s">
        <v>61</v>
      </c>
      <c r="VCD134" t="s">
        <v>61</v>
      </c>
      <c r="VCE134" t="s">
        <v>61</v>
      </c>
      <c r="VCF134" t="s">
        <v>61</v>
      </c>
      <c r="VCG134" t="s">
        <v>61</v>
      </c>
      <c r="VCH134" t="s">
        <v>61</v>
      </c>
      <c r="VCI134" t="s">
        <v>61</v>
      </c>
      <c r="VCJ134" t="s">
        <v>61</v>
      </c>
      <c r="VCK134" t="s">
        <v>61</v>
      </c>
      <c r="VCL134" t="s">
        <v>61</v>
      </c>
      <c r="VCM134" t="s">
        <v>61</v>
      </c>
      <c r="VCN134" t="s">
        <v>61</v>
      </c>
      <c r="VCO134" t="s">
        <v>61</v>
      </c>
      <c r="VCP134" t="s">
        <v>61</v>
      </c>
      <c r="VCQ134" t="s">
        <v>61</v>
      </c>
      <c r="VCR134" t="s">
        <v>61</v>
      </c>
      <c r="VCS134" t="s">
        <v>61</v>
      </c>
      <c r="VCT134" t="s">
        <v>61</v>
      </c>
      <c r="VCU134" t="s">
        <v>61</v>
      </c>
      <c r="VCV134" t="s">
        <v>61</v>
      </c>
      <c r="VCW134" t="s">
        <v>61</v>
      </c>
      <c r="VCX134" t="s">
        <v>61</v>
      </c>
      <c r="VCY134" t="s">
        <v>61</v>
      </c>
      <c r="VCZ134" t="s">
        <v>61</v>
      </c>
      <c r="VDA134" t="s">
        <v>61</v>
      </c>
      <c r="VDB134" t="s">
        <v>61</v>
      </c>
      <c r="VDC134" t="s">
        <v>61</v>
      </c>
      <c r="VDD134" t="s">
        <v>61</v>
      </c>
      <c r="VDE134" t="s">
        <v>61</v>
      </c>
      <c r="VDF134" t="s">
        <v>61</v>
      </c>
      <c r="VDG134" t="s">
        <v>61</v>
      </c>
      <c r="VDH134" t="s">
        <v>61</v>
      </c>
      <c r="VDI134" t="s">
        <v>61</v>
      </c>
      <c r="VDJ134" t="s">
        <v>61</v>
      </c>
      <c r="VDK134" t="s">
        <v>61</v>
      </c>
      <c r="VDL134" t="s">
        <v>61</v>
      </c>
      <c r="VDM134" t="s">
        <v>61</v>
      </c>
      <c r="VDN134" t="s">
        <v>61</v>
      </c>
      <c r="VDO134" t="s">
        <v>61</v>
      </c>
      <c r="VDP134" t="s">
        <v>61</v>
      </c>
      <c r="VDQ134" t="s">
        <v>61</v>
      </c>
      <c r="VDR134" t="s">
        <v>61</v>
      </c>
      <c r="VDS134" t="s">
        <v>61</v>
      </c>
      <c r="VDT134" t="s">
        <v>61</v>
      </c>
      <c r="VDU134" t="s">
        <v>61</v>
      </c>
      <c r="VDV134" t="s">
        <v>61</v>
      </c>
      <c r="VDW134" t="s">
        <v>61</v>
      </c>
      <c r="VDX134" t="s">
        <v>61</v>
      </c>
      <c r="VDY134" t="s">
        <v>61</v>
      </c>
      <c r="VDZ134" t="s">
        <v>61</v>
      </c>
      <c r="VEA134" t="s">
        <v>61</v>
      </c>
      <c r="VEB134" t="s">
        <v>61</v>
      </c>
      <c r="VEC134" t="s">
        <v>61</v>
      </c>
      <c r="VED134" t="s">
        <v>61</v>
      </c>
      <c r="VEE134" t="s">
        <v>61</v>
      </c>
      <c r="VEF134" t="s">
        <v>61</v>
      </c>
      <c r="VEG134" t="s">
        <v>61</v>
      </c>
      <c r="VEH134" t="s">
        <v>61</v>
      </c>
      <c r="VEI134" t="s">
        <v>61</v>
      </c>
      <c r="VEJ134" t="s">
        <v>61</v>
      </c>
      <c r="VEK134" t="s">
        <v>61</v>
      </c>
      <c r="VEL134" t="s">
        <v>61</v>
      </c>
      <c r="VEM134" t="s">
        <v>61</v>
      </c>
      <c r="VEN134" t="s">
        <v>61</v>
      </c>
      <c r="VEO134" t="s">
        <v>61</v>
      </c>
      <c r="VEP134" t="s">
        <v>61</v>
      </c>
      <c r="VEQ134" t="s">
        <v>61</v>
      </c>
      <c r="VER134" t="s">
        <v>61</v>
      </c>
      <c r="VES134" t="s">
        <v>61</v>
      </c>
      <c r="VET134" t="s">
        <v>61</v>
      </c>
      <c r="VEU134" t="s">
        <v>61</v>
      </c>
      <c r="VEV134" t="s">
        <v>61</v>
      </c>
      <c r="VEW134" t="s">
        <v>61</v>
      </c>
      <c r="VEX134" t="s">
        <v>61</v>
      </c>
      <c r="VEY134" t="s">
        <v>61</v>
      </c>
      <c r="VEZ134" t="s">
        <v>61</v>
      </c>
      <c r="VFA134" t="s">
        <v>61</v>
      </c>
      <c r="VFB134" t="s">
        <v>61</v>
      </c>
      <c r="VFC134" t="s">
        <v>61</v>
      </c>
      <c r="VFD134" t="s">
        <v>61</v>
      </c>
      <c r="VFE134" t="s">
        <v>61</v>
      </c>
      <c r="VFF134" t="s">
        <v>61</v>
      </c>
      <c r="VFG134" t="s">
        <v>61</v>
      </c>
      <c r="VFH134" t="s">
        <v>61</v>
      </c>
      <c r="VFI134" t="s">
        <v>61</v>
      </c>
      <c r="VFJ134" t="s">
        <v>61</v>
      </c>
      <c r="VFK134" t="s">
        <v>61</v>
      </c>
      <c r="VFL134" t="s">
        <v>61</v>
      </c>
      <c r="VFM134" t="s">
        <v>61</v>
      </c>
      <c r="VFN134" t="s">
        <v>61</v>
      </c>
      <c r="VFO134" t="s">
        <v>61</v>
      </c>
      <c r="VFP134" t="s">
        <v>61</v>
      </c>
      <c r="VFQ134" t="s">
        <v>61</v>
      </c>
      <c r="VFR134" t="s">
        <v>61</v>
      </c>
      <c r="VFS134" t="s">
        <v>61</v>
      </c>
      <c r="VFT134" t="s">
        <v>61</v>
      </c>
      <c r="VFU134" t="s">
        <v>61</v>
      </c>
      <c r="VFV134" t="s">
        <v>61</v>
      </c>
      <c r="VFW134" t="s">
        <v>61</v>
      </c>
      <c r="VFX134" t="s">
        <v>61</v>
      </c>
      <c r="VFY134" t="s">
        <v>61</v>
      </c>
      <c r="VFZ134" t="s">
        <v>61</v>
      </c>
      <c r="VGA134" t="s">
        <v>61</v>
      </c>
      <c r="VGB134" t="s">
        <v>61</v>
      </c>
      <c r="VGC134" t="s">
        <v>61</v>
      </c>
      <c r="VGD134" t="s">
        <v>61</v>
      </c>
      <c r="VGE134" t="s">
        <v>61</v>
      </c>
      <c r="VGF134" t="s">
        <v>61</v>
      </c>
      <c r="VGG134" t="s">
        <v>61</v>
      </c>
      <c r="VGH134" t="s">
        <v>61</v>
      </c>
      <c r="VGI134" t="s">
        <v>61</v>
      </c>
      <c r="VGJ134" t="s">
        <v>61</v>
      </c>
      <c r="VGK134" t="s">
        <v>61</v>
      </c>
      <c r="VGL134" t="s">
        <v>61</v>
      </c>
      <c r="VGM134" t="s">
        <v>61</v>
      </c>
      <c r="VGN134" t="s">
        <v>61</v>
      </c>
      <c r="VGO134" t="s">
        <v>61</v>
      </c>
      <c r="VGP134" t="s">
        <v>61</v>
      </c>
      <c r="VGQ134" t="s">
        <v>61</v>
      </c>
      <c r="VGR134" t="s">
        <v>61</v>
      </c>
      <c r="VGS134" t="s">
        <v>61</v>
      </c>
      <c r="VGT134" t="s">
        <v>61</v>
      </c>
      <c r="VGU134" t="s">
        <v>61</v>
      </c>
      <c r="VGV134" t="s">
        <v>61</v>
      </c>
      <c r="VGW134" t="s">
        <v>61</v>
      </c>
      <c r="VGX134" t="s">
        <v>61</v>
      </c>
      <c r="VGY134" t="s">
        <v>61</v>
      </c>
      <c r="VGZ134" t="s">
        <v>61</v>
      </c>
      <c r="VHA134" t="s">
        <v>61</v>
      </c>
      <c r="VHB134" t="s">
        <v>61</v>
      </c>
      <c r="VHC134" t="s">
        <v>61</v>
      </c>
      <c r="VHD134" t="s">
        <v>61</v>
      </c>
      <c r="VHE134" t="s">
        <v>61</v>
      </c>
      <c r="VHF134" t="s">
        <v>61</v>
      </c>
      <c r="VHG134" t="s">
        <v>61</v>
      </c>
      <c r="VHH134" t="s">
        <v>61</v>
      </c>
      <c r="VHI134" t="s">
        <v>61</v>
      </c>
      <c r="VHJ134" t="s">
        <v>61</v>
      </c>
      <c r="VHK134" t="s">
        <v>61</v>
      </c>
      <c r="VHL134" t="s">
        <v>61</v>
      </c>
      <c r="VHM134" t="s">
        <v>61</v>
      </c>
      <c r="VHN134" t="s">
        <v>61</v>
      </c>
      <c r="VHO134" t="s">
        <v>61</v>
      </c>
      <c r="VHP134" t="s">
        <v>61</v>
      </c>
      <c r="VHQ134" t="s">
        <v>61</v>
      </c>
      <c r="VHR134" t="s">
        <v>61</v>
      </c>
      <c r="VHS134" t="s">
        <v>61</v>
      </c>
      <c r="VHT134" t="s">
        <v>61</v>
      </c>
      <c r="VHU134" t="s">
        <v>61</v>
      </c>
      <c r="VHV134" t="s">
        <v>61</v>
      </c>
      <c r="VHW134" t="s">
        <v>61</v>
      </c>
      <c r="VHX134" t="s">
        <v>61</v>
      </c>
      <c r="VHY134" t="s">
        <v>61</v>
      </c>
      <c r="VHZ134" t="s">
        <v>61</v>
      </c>
      <c r="VIA134" t="s">
        <v>61</v>
      </c>
      <c r="VIB134" t="s">
        <v>61</v>
      </c>
      <c r="VIC134" t="s">
        <v>61</v>
      </c>
      <c r="VID134" t="s">
        <v>61</v>
      </c>
      <c r="VIE134" t="s">
        <v>61</v>
      </c>
      <c r="VIF134" t="s">
        <v>61</v>
      </c>
      <c r="VIG134" t="s">
        <v>61</v>
      </c>
      <c r="VIH134" t="s">
        <v>61</v>
      </c>
      <c r="VII134" t="s">
        <v>61</v>
      </c>
      <c r="VIJ134" t="s">
        <v>61</v>
      </c>
      <c r="VIK134" t="s">
        <v>61</v>
      </c>
      <c r="VIL134" t="s">
        <v>61</v>
      </c>
      <c r="VIM134" t="s">
        <v>61</v>
      </c>
      <c r="VIN134" t="s">
        <v>61</v>
      </c>
      <c r="VIO134" t="s">
        <v>61</v>
      </c>
      <c r="VIP134" t="s">
        <v>61</v>
      </c>
      <c r="VIQ134" t="s">
        <v>61</v>
      </c>
      <c r="VIR134" t="s">
        <v>61</v>
      </c>
      <c r="VIS134" t="s">
        <v>61</v>
      </c>
      <c r="VIT134" t="s">
        <v>61</v>
      </c>
      <c r="VIU134" t="s">
        <v>61</v>
      </c>
      <c r="VIV134" t="s">
        <v>61</v>
      </c>
      <c r="VIW134" t="s">
        <v>61</v>
      </c>
      <c r="VIX134" t="s">
        <v>61</v>
      </c>
      <c r="VIY134" t="s">
        <v>61</v>
      </c>
      <c r="VIZ134" t="s">
        <v>61</v>
      </c>
      <c r="VJA134" t="s">
        <v>61</v>
      </c>
      <c r="VJB134" t="s">
        <v>61</v>
      </c>
      <c r="VJC134" t="s">
        <v>61</v>
      </c>
      <c r="VJD134" t="s">
        <v>61</v>
      </c>
      <c r="VJE134" t="s">
        <v>61</v>
      </c>
      <c r="VJF134" t="s">
        <v>61</v>
      </c>
      <c r="VJG134" t="s">
        <v>61</v>
      </c>
      <c r="VJH134" t="s">
        <v>61</v>
      </c>
      <c r="VJI134" t="s">
        <v>61</v>
      </c>
      <c r="VJJ134" t="s">
        <v>61</v>
      </c>
      <c r="VJK134" t="s">
        <v>61</v>
      </c>
      <c r="VJL134" t="s">
        <v>61</v>
      </c>
      <c r="VJM134" t="s">
        <v>61</v>
      </c>
      <c r="VJN134" t="s">
        <v>61</v>
      </c>
      <c r="VJO134" t="s">
        <v>61</v>
      </c>
      <c r="VJP134" t="s">
        <v>61</v>
      </c>
      <c r="VJQ134" t="s">
        <v>61</v>
      </c>
      <c r="VJR134" t="s">
        <v>61</v>
      </c>
      <c r="VJS134" t="s">
        <v>61</v>
      </c>
      <c r="VJT134" t="s">
        <v>61</v>
      </c>
      <c r="VJU134" t="s">
        <v>61</v>
      </c>
      <c r="VJV134" t="s">
        <v>61</v>
      </c>
      <c r="VJW134" t="s">
        <v>61</v>
      </c>
      <c r="VJX134" t="s">
        <v>61</v>
      </c>
      <c r="VJY134" t="s">
        <v>61</v>
      </c>
      <c r="VJZ134" t="s">
        <v>61</v>
      </c>
      <c r="VKA134" t="s">
        <v>61</v>
      </c>
      <c r="VKB134" t="s">
        <v>61</v>
      </c>
      <c r="VKC134" t="s">
        <v>61</v>
      </c>
      <c r="VKD134" t="s">
        <v>61</v>
      </c>
      <c r="VKE134" t="s">
        <v>61</v>
      </c>
      <c r="VKF134" t="s">
        <v>61</v>
      </c>
      <c r="VKG134" t="s">
        <v>61</v>
      </c>
      <c r="VKH134" t="s">
        <v>61</v>
      </c>
      <c r="VKI134" t="s">
        <v>61</v>
      </c>
      <c r="VKJ134" t="s">
        <v>61</v>
      </c>
      <c r="VKK134" t="s">
        <v>61</v>
      </c>
      <c r="VKL134" t="s">
        <v>61</v>
      </c>
      <c r="VKM134" t="s">
        <v>61</v>
      </c>
      <c r="VKN134" t="s">
        <v>61</v>
      </c>
      <c r="VKO134" t="s">
        <v>61</v>
      </c>
      <c r="VKP134" t="s">
        <v>61</v>
      </c>
      <c r="VKQ134" t="s">
        <v>61</v>
      </c>
      <c r="VKR134" t="s">
        <v>61</v>
      </c>
      <c r="VKS134" t="s">
        <v>61</v>
      </c>
      <c r="VKT134" t="s">
        <v>61</v>
      </c>
      <c r="VKU134" t="s">
        <v>61</v>
      </c>
      <c r="VKV134" t="s">
        <v>61</v>
      </c>
      <c r="VKW134" t="s">
        <v>61</v>
      </c>
      <c r="VKX134" t="s">
        <v>61</v>
      </c>
      <c r="VKY134" t="s">
        <v>61</v>
      </c>
      <c r="VKZ134" t="s">
        <v>61</v>
      </c>
      <c r="VLA134" t="s">
        <v>61</v>
      </c>
      <c r="VLB134" t="s">
        <v>61</v>
      </c>
      <c r="VLC134" t="s">
        <v>61</v>
      </c>
      <c r="VLD134" t="s">
        <v>61</v>
      </c>
      <c r="VLE134" t="s">
        <v>61</v>
      </c>
      <c r="VLF134" t="s">
        <v>61</v>
      </c>
      <c r="VLG134" t="s">
        <v>61</v>
      </c>
      <c r="VLH134" t="s">
        <v>61</v>
      </c>
      <c r="VLI134" t="s">
        <v>61</v>
      </c>
      <c r="VLJ134" t="s">
        <v>61</v>
      </c>
      <c r="VLK134" t="s">
        <v>61</v>
      </c>
      <c r="VLL134" t="s">
        <v>61</v>
      </c>
      <c r="VLM134" t="s">
        <v>61</v>
      </c>
      <c r="VLN134" t="s">
        <v>61</v>
      </c>
      <c r="VLO134" t="s">
        <v>61</v>
      </c>
      <c r="VLP134" t="s">
        <v>61</v>
      </c>
      <c r="VLQ134" t="s">
        <v>61</v>
      </c>
      <c r="VLR134" t="s">
        <v>61</v>
      </c>
      <c r="VLS134" t="s">
        <v>61</v>
      </c>
      <c r="VLT134" t="s">
        <v>61</v>
      </c>
      <c r="VLU134" t="s">
        <v>61</v>
      </c>
      <c r="VLV134" t="s">
        <v>61</v>
      </c>
      <c r="VLW134" t="s">
        <v>61</v>
      </c>
      <c r="VLX134" t="s">
        <v>61</v>
      </c>
      <c r="VLY134" t="s">
        <v>61</v>
      </c>
      <c r="VLZ134" t="s">
        <v>61</v>
      </c>
      <c r="VMA134" t="s">
        <v>61</v>
      </c>
      <c r="VMB134" t="s">
        <v>61</v>
      </c>
      <c r="VMC134" t="s">
        <v>61</v>
      </c>
      <c r="VMD134" t="s">
        <v>61</v>
      </c>
      <c r="VME134" t="s">
        <v>61</v>
      </c>
      <c r="VMF134" t="s">
        <v>61</v>
      </c>
      <c r="VMG134" t="s">
        <v>61</v>
      </c>
      <c r="VMH134" t="s">
        <v>61</v>
      </c>
      <c r="VMI134" t="s">
        <v>61</v>
      </c>
      <c r="VMJ134" t="s">
        <v>61</v>
      </c>
      <c r="VMK134" t="s">
        <v>61</v>
      </c>
      <c r="VML134" t="s">
        <v>61</v>
      </c>
      <c r="VMM134" t="s">
        <v>61</v>
      </c>
      <c r="VMN134" t="s">
        <v>61</v>
      </c>
      <c r="VMO134" t="s">
        <v>61</v>
      </c>
      <c r="VMP134" t="s">
        <v>61</v>
      </c>
      <c r="VMQ134" t="s">
        <v>61</v>
      </c>
      <c r="VMR134" t="s">
        <v>61</v>
      </c>
      <c r="VMS134" t="s">
        <v>61</v>
      </c>
      <c r="VMT134" t="s">
        <v>61</v>
      </c>
      <c r="VMU134" t="s">
        <v>61</v>
      </c>
      <c r="VMV134" t="s">
        <v>61</v>
      </c>
      <c r="VMW134" t="s">
        <v>61</v>
      </c>
      <c r="VMX134" t="s">
        <v>61</v>
      </c>
      <c r="VMY134" t="s">
        <v>61</v>
      </c>
      <c r="VMZ134" t="s">
        <v>61</v>
      </c>
      <c r="VNA134" t="s">
        <v>61</v>
      </c>
      <c r="VNB134" t="s">
        <v>61</v>
      </c>
      <c r="VNC134" t="s">
        <v>61</v>
      </c>
      <c r="VND134" t="s">
        <v>61</v>
      </c>
      <c r="VNE134" t="s">
        <v>61</v>
      </c>
      <c r="VNF134" t="s">
        <v>61</v>
      </c>
      <c r="VNG134" t="s">
        <v>61</v>
      </c>
      <c r="VNH134" t="s">
        <v>61</v>
      </c>
      <c r="VNI134" t="s">
        <v>61</v>
      </c>
      <c r="VNJ134" t="s">
        <v>61</v>
      </c>
      <c r="VNK134" t="s">
        <v>61</v>
      </c>
      <c r="VNL134" t="s">
        <v>61</v>
      </c>
      <c r="VNM134" t="s">
        <v>61</v>
      </c>
      <c r="VNN134" t="s">
        <v>61</v>
      </c>
      <c r="VNO134" t="s">
        <v>61</v>
      </c>
      <c r="VNP134" t="s">
        <v>61</v>
      </c>
      <c r="VNQ134" t="s">
        <v>61</v>
      </c>
      <c r="VNR134" t="s">
        <v>61</v>
      </c>
      <c r="VNS134" t="s">
        <v>61</v>
      </c>
      <c r="VNT134" t="s">
        <v>61</v>
      </c>
      <c r="VNU134" t="s">
        <v>61</v>
      </c>
      <c r="VNV134" t="s">
        <v>61</v>
      </c>
      <c r="VNW134" t="s">
        <v>61</v>
      </c>
      <c r="VNX134" t="s">
        <v>61</v>
      </c>
      <c r="VNY134" t="s">
        <v>61</v>
      </c>
      <c r="VNZ134" t="s">
        <v>61</v>
      </c>
      <c r="VOA134" t="s">
        <v>61</v>
      </c>
      <c r="VOB134" t="s">
        <v>61</v>
      </c>
      <c r="VOC134" t="s">
        <v>61</v>
      </c>
      <c r="VOD134" t="s">
        <v>61</v>
      </c>
      <c r="VOE134" t="s">
        <v>61</v>
      </c>
      <c r="VOF134" t="s">
        <v>61</v>
      </c>
      <c r="VOG134" t="s">
        <v>61</v>
      </c>
      <c r="VOH134" t="s">
        <v>61</v>
      </c>
      <c r="VOI134" t="s">
        <v>61</v>
      </c>
      <c r="VOJ134" t="s">
        <v>61</v>
      </c>
      <c r="VOK134" t="s">
        <v>61</v>
      </c>
      <c r="VOL134" t="s">
        <v>61</v>
      </c>
      <c r="VOM134" t="s">
        <v>61</v>
      </c>
      <c r="VON134" t="s">
        <v>61</v>
      </c>
      <c r="VOO134" t="s">
        <v>61</v>
      </c>
      <c r="VOP134" t="s">
        <v>61</v>
      </c>
      <c r="VOQ134" t="s">
        <v>61</v>
      </c>
      <c r="VOR134" t="s">
        <v>61</v>
      </c>
      <c r="VOS134" t="s">
        <v>61</v>
      </c>
      <c r="VOT134" t="s">
        <v>61</v>
      </c>
      <c r="VOU134" t="s">
        <v>61</v>
      </c>
      <c r="VOV134" t="s">
        <v>61</v>
      </c>
      <c r="VOW134" t="s">
        <v>61</v>
      </c>
      <c r="VOX134" t="s">
        <v>61</v>
      </c>
      <c r="VOY134" t="s">
        <v>61</v>
      </c>
      <c r="VOZ134" t="s">
        <v>61</v>
      </c>
      <c r="VPA134" t="s">
        <v>61</v>
      </c>
      <c r="VPB134" t="s">
        <v>61</v>
      </c>
      <c r="VPC134" t="s">
        <v>61</v>
      </c>
      <c r="VPD134" t="s">
        <v>61</v>
      </c>
      <c r="VPE134" t="s">
        <v>61</v>
      </c>
      <c r="VPF134" t="s">
        <v>61</v>
      </c>
      <c r="VPG134" t="s">
        <v>61</v>
      </c>
      <c r="VPH134" t="s">
        <v>61</v>
      </c>
      <c r="VPI134" t="s">
        <v>61</v>
      </c>
      <c r="VPJ134" t="s">
        <v>61</v>
      </c>
      <c r="VPK134" t="s">
        <v>61</v>
      </c>
      <c r="VPL134" t="s">
        <v>61</v>
      </c>
      <c r="VPM134" t="s">
        <v>61</v>
      </c>
      <c r="VPN134" t="s">
        <v>61</v>
      </c>
      <c r="VPO134" t="s">
        <v>61</v>
      </c>
      <c r="VPP134" t="s">
        <v>61</v>
      </c>
      <c r="VPQ134" t="s">
        <v>61</v>
      </c>
      <c r="VPR134" t="s">
        <v>61</v>
      </c>
      <c r="VPS134" t="s">
        <v>61</v>
      </c>
      <c r="VPT134" t="s">
        <v>61</v>
      </c>
      <c r="VPU134" t="s">
        <v>61</v>
      </c>
      <c r="VPV134" t="s">
        <v>61</v>
      </c>
      <c r="VPW134" t="s">
        <v>61</v>
      </c>
      <c r="VPX134" t="s">
        <v>61</v>
      </c>
      <c r="VPY134" t="s">
        <v>61</v>
      </c>
      <c r="VPZ134" t="s">
        <v>61</v>
      </c>
      <c r="VQA134" t="s">
        <v>61</v>
      </c>
      <c r="VQB134" t="s">
        <v>61</v>
      </c>
      <c r="VQC134" t="s">
        <v>61</v>
      </c>
      <c r="VQD134" t="s">
        <v>61</v>
      </c>
      <c r="VQE134" t="s">
        <v>61</v>
      </c>
      <c r="VQF134" t="s">
        <v>61</v>
      </c>
      <c r="VQG134" t="s">
        <v>61</v>
      </c>
      <c r="VQH134" t="s">
        <v>61</v>
      </c>
      <c r="VQI134" t="s">
        <v>61</v>
      </c>
      <c r="VQJ134" t="s">
        <v>61</v>
      </c>
      <c r="VQK134" t="s">
        <v>61</v>
      </c>
      <c r="VQL134" t="s">
        <v>61</v>
      </c>
      <c r="VQM134" t="s">
        <v>61</v>
      </c>
      <c r="VQN134" t="s">
        <v>61</v>
      </c>
      <c r="VQO134" t="s">
        <v>61</v>
      </c>
      <c r="VQP134" t="s">
        <v>61</v>
      </c>
      <c r="VQQ134" t="s">
        <v>61</v>
      </c>
      <c r="VQR134" t="s">
        <v>61</v>
      </c>
      <c r="VQS134" t="s">
        <v>61</v>
      </c>
      <c r="VQT134" t="s">
        <v>61</v>
      </c>
      <c r="VQU134" t="s">
        <v>61</v>
      </c>
      <c r="VQV134" t="s">
        <v>61</v>
      </c>
      <c r="VQW134" t="s">
        <v>61</v>
      </c>
      <c r="VQX134" t="s">
        <v>61</v>
      </c>
      <c r="VQY134" t="s">
        <v>61</v>
      </c>
      <c r="VQZ134" t="s">
        <v>61</v>
      </c>
      <c r="VRA134" t="s">
        <v>61</v>
      </c>
      <c r="VRB134" t="s">
        <v>61</v>
      </c>
      <c r="VRC134" t="s">
        <v>61</v>
      </c>
      <c r="VRD134" t="s">
        <v>61</v>
      </c>
      <c r="VRE134" t="s">
        <v>61</v>
      </c>
      <c r="VRF134" t="s">
        <v>61</v>
      </c>
      <c r="VRG134" t="s">
        <v>61</v>
      </c>
      <c r="VRH134" t="s">
        <v>61</v>
      </c>
      <c r="VRI134" t="s">
        <v>61</v>
      </c>
      <c r="VRJ134" t="s">
        <v>61</v>
      </c>
      <c r="VRK134" t="s">
        <v>61</v>
      </c>
      <c r="VRL134" t="s">
        <v>61</v>
      </c>
      <c r="VRM134" t="s">
        <v>61</v>
      </c>
      <c r="VRN134" t="s">
        <v>61</v>
      </c>
      <c r="VRO134" t="s">
        <v>61</v>
      </c>
      <c r="VRP134" t="s">
        <v>61</v>
      </c>
      <c r="VRQ134" t="s">
        <v>61</v>
      </c>
      <c r="VRR134" t="s">
        <v>61</v>
      </c>
      <c r="VRS134" t="s">
        <v>61</v>
      </c>
      <c r="VRT134" t="s">
        <v>61</v>
      </c>
      <c r="VRU134" t="s">
        <v>61</v>
      </c>
      <c r="VRV134" t="s">
        <v>61</v>
      </c>
      <c r="VRW134" t="s">
        <v>61</v>
      </c>
      <c r="VRX134" t="s">
        <v>61</v>
      </c>
      <c r="VRY134" t="s">
        <v>61</v>
      </c>
      <c r="VRZ134" t="s">
        <v>61</v>
      </c>
      <c r="VSA134" t="s">
        <v>61</v>
      </c>
      <c r="VSB134" t="s">
        <v>61</v>
      </c>
      <c r="VSC134" t="s">
        <v>61</v>
      </c>
      <c r="VSD134" t="s">
        <v>61</v>
      </c>
      <c r="VSE134" t="s">
        <v>61</v>
      </c>
      <c r="VSF134" t="s">
        <v>61</v>
      </c>
      <c r="VSG134" t="s">
        <v>61</v>
      </c>
      <c r="VSH134" t="s">
        <v>61</v>
      </c>
      <c r="VSI134" t="s">
        <v>61</v>
      </c>
      <c r="VSJ134" t="s">
        <v>61</v>
      </c>
      <c r="VSK134" t="s">
        <v>61</v>
      </c>
      <c r="VSL134" t="s">
        <v>61</v>
      </c>
      <c r="VSM134" t="s">
        <v>61</v>
      </c>
      <c r="VSN134" t="s">
        <v>61</v>
      </c>
      <c r="VSO134" t="s">
        <v>61</v>
      </c>
      <c r="VSP134" t="s">
        <v>61</v>
      </c>
      <c r="VSQ134" t="s">
        <v>61</v>
      </c>
      <c r="VSR134" t="s">
        <v>61</v>
      </c>
      <c r="VSS134" t="s">
        <v>61</v>
      </c>
      <c r="VST134" t="s">
        <v>61</v>
      </c>
      <c r="VSU134" t="s">
        <v>61</v>
      </c>
      <c r="VSV134" t="s">
        <v>61</v>
      </c>
      <c r="VSW134" t="s">
        <v>61</v>
      </c>
      <c r="VSX134" t="s">
        <v>61</v>
      </c>
      <c r="VSY134" t="s">
        <v>61</v>
      </c>
      <c r="VSZ134" t="s">
        <v>61</v>
      </c>
      <c r="VTA134" t="s">
        <v>61</v>
      </c>
      <c r="VTB134" t="s">
        <v>61</v>
      </c>
      <c r="VTC134" t="s">
        <v>61</v>
      </c>
      <c r="VTD134" t="s">
        <v>61</v>
      </c>
      <c r="VTE134" t="s">
        <v>61</v>
      </c>
      <c r="VTF134" t="s">
        <v>61</v>
      </c>
      <c r="VTG134" t="s">
        <v>61</v>
      </c>
      <c r="VTH134" t="s">
        <v>61</v>
      </c>
      <c r="VTI134" t="s">
        <v>61</v>
      </c>
      <c r="VTJ134" t="s">
        <v>61</v>
      </c>
      <c r="VTK134" t="s">
        <v>61</v>
      </c>
      <c r="VTL134" t="s">
        <v>61</v>
      </c>
      <c r="VTM134" t="s">
        <v>61</v>
      </c>
      <c r="VTN134" t="s">
        <v>61</v>
      </c>
      <c r="VTO134" t="s">
        <v>61</v>
      </c>
      <c r="VTP134" t="s">
        <v>61</v>
      </c>
      <c r="VTQ134" t="s">
        <v>61</v>
      </c>
      <c r="VTR134" t="s">
        <v>61</v>
      </c>
      <c r="VTS134" t="s">
        <v>61</v>
      </c>
      <c r="VTT134" t="s">
        <v>61</v>
      </c>
      <c r="VTU134" t="s">
        <v>61</v>
      </c>
      <c r="VTV134" t="s">
        <v>61</v>
      </c>
      <c r="VTW134" t="s">
        <v>61</v>
      </c>
      <c r="VTX134" t="s">
        <v>61</v>
      </c>
      <c r="VTY134" t="s">
        <v>61</v>
      </c>
      <c r="VTZ134" t="s">
        <v>61</v>
      </c>
      <c r="VUA134" t="s">
        <v>61</v>
      </c>
      <c r="VUB134" t="s">
        <v>61</v>
      </c>
      <c r="VUC134" t="s">
        <v>61</v>
      </c>
      <c r="VUD134" t="s">
        <v>61</v>
      </c>
      <c r="VUE134" t="s">
        <v>61</v>
      </c>
      <c r="VUF134" t="s">
        <v>61</v>
      </c>
      <c r="VUG134" t="s">
        <v>61</v>
      </c>
      <c r="VUH134" t="s">
        <v>61</v>
      </c>
      <c r="VUI134" t="s">
        <v>61</v>
      </c>
      <c r="VUJ134" t="s">
        <v>61</v>
      </c>
      <c r="VUK134" t="s">
        <v>61</v>
      </c>
      <c r="VUL134" t="s">
        <v>61</v>
      </c>
      <c r="VUM134" t="s">
        <v>61</v>
      </c>
      <c r="VUN134" t="s">
        <v>61</v>
      </c>
      <c r="VUO134" t="s">
        <v>61</v>
      </c>
      <c r="VUP134" t="s">
        <v>61</v>
      </c>
      <c r="VUQ134" t="s">
        <v>61</v>
      </c>
      <c r="VUR134" t="s">
        <v>61</v>
      </c>
      <c r="VUS134" t="s">
        <v>61</v>
      </c>
      <c r="VUT134" t="s">
        <v>61</v>
      </c>
      <c r="VUU134" t="s">
        <v>61</v>
      </c>
      <c r="VUV134" t="s">
        <v>61</v>
      </c>
      <c r="VUW134" t="s">
        <v>61</v>
      </c>
      <c r="VUX134" t="s">
        <v>61</v>
      </c>
      <c r="VUY134" t="s">
        <v>61</v>
      </c>
      <c r="VUZ134" t="s">
        <v>61</v>
      </c>
      <c r="VVA134" t="s">
        <v>61</v>
      </c>
      <c r="VVB134" t="s">
        <v>61</v>
      </c>
      <c r="VVC134" t="s">
        <v>61</v>
      </c>
      <c r="VVD134" t="s">
        <v>61</v>
      </c>
      <c r="VVE134" t="s">
        <v>61</v>
      </c>
      <c r="VVF134" t="s">
        <v>61</v>
      </c>
      <c r="VVG134" t="s">
        <v>61</v>
      </c>
      <c r="VVH134" t="s">
        <v>61</v>
      </c>
      <c r="VVI134" t="s">
        <v>61</v>
      </c>
      <c r="VVJ134" t="s">
        <v>61</v>
      </c>
      <c r="VVK134" t="s">
        <v>61</v>
      </c>
      <c r="VVL134" t="s">
        <v>61</v>
      </c>
      <c r="VVM134" t="s">
        <v>61</v>
      </c>
      <c r="VVN134" t="s">
        <v>61</v>
      </c>
      <c r="VVO134" t="s">
        <v>61</v>
      </c>
      <c r="VVP134" t="s">
        <v>61</v>
      </c>
      <c r="VVQ134" t="s">
        <v>61</v>
      </c>
      <c r="VVR134" t="s">
        <v>61</v>
      </c>
      <c r="VVS134" t="s">
        <v>61</v>
      </c>
      <c r="VVT134" t="s">
        <v>61</v>
      </c>
      <c r="VVU134" t="s">
        <v>61</v>
      </c>
      <c r="VVV134" t="s">
        <v>61</v>
      </c>
      <c r="VVW134" t="s">
        <v>61</v>
      </c>
      <c r="VVX134" t="s">
        <v>61</v>
      </c>
      <c r="VVY134" t="s">
        <v>61</v>
      </c>
      <c r="VVZ134" t="s">
        <v>61</v>
      </c>
      <c r="VWA134" t="s">
        <v>61</v>
      </c>
      <c r="VWB134" t="s">
        <v>61</v>
      </c>
      <c r="VWC134" t="s">
        <v>61</v>
      </c>
      <c r="VWD134" t="s">
        <v>61</v>
      </c>
      <c r="VWE134" t="s">
        <v>61</v>
      </c>
      <c r="VWF134" t="s">
        <v>61</v>
      </c>
      <c r="VWG134" t="s">
        <v>61</v>
      </c>
      <c r="VWH134" t="s">
        <v>61</v>
      </c>
      <c r="VWI134" t="s">
        <v>61</v>
      </c>
      <c r="VWJ134" t="s">
        <v>61</v>
      </c>
      <c r="VWK134" t="s">
        <v>61</v>
      </c>
      <c r="VWL134" t="s">
        <v>61</v>
      </c>
      <c r="VWM134" t="s">
        <v>61</v>
      </c>
      <c r="VWN134" t="s">
        <v>61</v>
      </c>
      <c r="VWO134" t="s">
        <v>61</v>
      </c>
      <c r="VWP134" t="s">
        <v>61</v>
      </c>
      <c r="VWQ134" t="s">
        <v>61</v>
      </c>
      <c r="VWR134" t="s">
        <v>61</v>
      </c>
      <c r="VWS134" t="s">
        <v>61</v>
      </c>
      <c r="VWT134" t="s">
        <v>61</v>
      </c>
      <c r="VWU134" t="s">
        <v>61</v>
      </c>
      <c r="VWV134" t="s">
        <v>61</v>
      </c>
      <c r="VWW134" t="s">
        <v>61</v>
      </c>
      <c r="VWX134" t="s">
        <v>61</v>
      </c>
      <c r="VWY134" t="s">
        <v>61</v>
      </c>
      <c r="VWZ134" t="s">
        <v>61</v>
      </c>
      <c r="VXA134" t="s">
        <v>61</v>
      </c>
      <c r="VXB134" t="s">
        <v>61</v>
      </c>
      <c r="VXC134" t="s">
        <v>61</v>
      </c>
      <c r="VXD134" t="s">
        <v>61</v>
      </c>
      <c r="VXE134" t="s">
        <v>61</v>
      </c>
      <c r="VXF134" t="s">
        <v>61</v>
      </c>
      <c r="VXG134" t="s">
        <v>61</v>
      </c>
      <c r="VXH134" t="s">
        <v>61</v>
      </c>
      <c r="VXI134" t="s">
        <v>61</v>
      </c>
      <c r="VXJ134" t="s">
        <v>61</v>
      </c>
      <c r="VXK134" t="s">
        <v>61</v>
      </c>
      <c r="VXL134" t="s">
        <v>61</v>
      </c>
      <c r="VXM134" t="s">
        <v>61</v>
      </c>
      <c r="VXN134" t="s">
        <v>61</v>
      </c>
      <c r="VXO134" t="s">
        <v>61</v>
      </c>
      <c r="VXP134" t="s">
        <v>61</v>
      </c>
      <c r="VXQ134" t="s">
        <v>61</v>
      </c>
      <c r="VXR134" t="s">
        <v>61</v>
      </c>
      <c r="VXS134" t="s">
        <v>61</v>
      </c>
      <c r="VXT134" t="s">
        <v>61</v>
      </c>
      <c r="VXU134" t="s">
        <v>61</v>
      </c>
      <c r="VXV134" t="s">
        <v>61</v>
      </c>
      <c r="VXW134" t="s">
        <v>61</v>
      </c>
      <c r="VXX134" t="s">
        <v>61</v>
      </c>
      <c r="VXY134" t="s">
        <v>61</v>
      </c>
      <c r="VXZ134" t="s">
        <v>61</v>
      </c>
      <c r="VYA134" t="s">
        <v>61</v>
      </c>
      <c r="VYB134" t="s">
        <v>61</v>
      </c>
      <c r="VYC134" t="s">
        <v>61</v>
      </c>
      <c r="VYD134" t="s">
        <v>61</v>
      </c>
      <c r="VYE134" t="s">
        <v>61</v>
      </c>
      <c r="VYF134" t="s">
        <v>61</v>
      </c>
      <c r="VYG134" t="s">
        <v>61</v>
      </c>
      <c r="VYH134" t="s">
        <v>61</v>
      </c>
      <c r="VYI134" t="s">
        <v>61</v>
      </c>
      <c r="VYJ134" t="s">
        <v>61</v>
      </c>
      <c r="VYK134" t="s">
        <v>61</v>
      </c>
      <c r="VYL134" t="s">
        <v>61</v>
      </c>
      <c r="VYM134" t="s">
        <v>61</v>
      </c>
      <c r="VYN134" t="s">
        <v>61</v>
      </c>
      <c r="VYO134" t="s">
        <v>61</v>
      </c>
      <c r="VYP134" t="s">
        <v>61</v>
      </c>
      <c r="VYQ134" t="s">
        <v>61</v>
      </c>
      <c r="VYR134" t="s">
        <v>61</v>
      </c>
      <c r="VYS134" t="s">
        <v>61</v>
      </c>
      <c r="VYT134" t="s">
        <v>61</v>
      </c>
      <c r="VYU134" t="s">
        <v>61</v>
      </c>
      <c r="VYV134" t="s">
        <v>61</v>
      </c>
      <c r="VYW134" t="s">
        <v>61</v>
      </c>
      <c r="VYX134" t="s">
        <v>61</v>
      </c>
      <c r="VYY134" t="s">
        <v>61</v>
      </c>
      <c r="VYZ134" t="s">
        <v>61</v>
      </c>
      <c r="VZA134" t="s">
        <v>61</v>
      </c>
      <c r="VZB134" t="s">
        <v>61</v>
      </c>
      <c r="VZC134" t="s">
        <v>61</v>
      </c>
      <c r="VZD134" t="s">
        <v>61</v>
      </c>
      <c r="VZE134" t="s">
        <v>61</v>
      </c>
      <c r="VZF134" t="s">
        <v>61</v>
      </c>
      <c r="VZG134" t="s">
        <v>61</v>
      </c>
      <c r="VZH134" t="s">
        <v>61</v>
      </c>
      <c r="VZI134" t="s">
        <v>61</v>
      </c>
      <c r="VZJ134" t="s">
        <v>61</v>
      </c>
      <c r="VZK134" t="s">
        <v>61</v>
      </c>
      <c r="VZL134" t="s">
        <v>61</v>
      </c>
      <c r="VZM134" t="s">
        <v>61</v>
      </c>
      <c r="VZN134" t="s">
        <v>61</v>
      </c>
      <c r="VZO134" t="s">
        <v>61</v>
      </c>
      <c r="VZP134" t="s">
        <v>61</v>
      </c>
      <c r="VZQ134" t="s">
        <v>61</v>
      </c>
      <c r="VZR134" t="s">
        <v>61</v>
      </c>
      <c r="VZS134" t="s">
        <v>61</v>
      </c>
      <c r="VZT134" t="s">
        <v>61</v>
      </c>
      <c r="VZU134" t="s">
        <v>61</v>
      </c>
      <c r="VZV134" t="s">
        <v>61</v>
      </c>
      <c r="VZW134" t="s">
        <v>61</v>
      </c>
      <c r="VZX134" t="s">
        <v>61</v>
      </c>
      <c r="VZY134" t="s">
        <v>61</v>
      </c>
      <c r="VZZ134" t="s">
        <v>61</v>
      </c>
      <c r="WAA134" t="s">
        <v>61</v>
      </c>
      <c r="WAB134" t="s">
        <v>61</v>
      </c>
      <c r="WAC134" t="s">
        <v>61</v>
      </c>
      <c r="WAD134" t="s">
        <v>61</v>
      </c>
      <c r="WAE134" t="s">
        <v>61</v>
      </c>
      <c r="WAF134" t="s">
        <v>61</v>
      </c>
      <c r="WAG134" t="s">
        <v>61</v>
      </c>
      <c r="WAH134" t="s">
        <v>61</v>
      </c>
      <c r="WAI134" t="s">
        <v>61</v>
      </c>
      <c r="WAJ134" t="s">
        <v>61</v>
      </c>
      <c r="WAK134" t="s">
        <v>61</v>
      </c>
      <c r="WAL134" t="s">
        <v>61</v>
      </c>
      <c r="WAM134" t="s">
        <v>61</v>
      </c>
      <c r="WAN134" t="s">
        <v>61</v>
      </c>
      <c r="WAO134" t="s">
        <v>61</v>
      </c>
      <c r="WAP134" t="s">
        <v>61</v>
      </c>
      <c r="WAQ134" t="s">
        <v>61</v>
      </c>
      <c r="WAR134" t="s">
        <v>61</v>
      </c>
      <c r="WAS134" t="s">
        <v>61</v>
      </c>
      <c r="WAT134" t="s">
        <v>61</v>
      </c>
      <c r="WAU134" t="s">
        <v>61</v>
      </c>
      <c r="WAV134" t="s">
        <v>61</v>
      </c>
      <c r="WAW134" t="s">
        <v>61</v>
      </c>
      <c r="WAX134" t="s">
        <v>61</v>
      </c>
      <c r="WAY134" t="s">
        <v>61</v>
      </c>
      <c r="WAZ134" t="s">
        <v>61</v>
      </c>
      <c r="WBA134" t="s">
        <v>61</v>
      </c>
      <c r="WBB134" t="s">
        <v>61</v>
      </c>
      <c r="WBC134" t="s">
        <v>61</v>
      </c>
      <c r="WBD134" t="s">
        <v>61</v>
      </c>
      <c r="WBE134" t="s">
        <v>61</v>
      </c>
      <c r="WBF134" t="s">
        <v>61</v>
      </c>
      <c r="WBG134" t="s">
        <v>61</v>
      </c>
      <c r="WBH134" t="s">
        <v>61</v>
      </c>
      <c r="WBI134" t="s">
        <v>61</v>
      </c>
      <c r="WBJ134" t="s">
        <v>61</v>
      </c>
      <c r="WBK134" t="s">
        <v>61</v>
      </c>
      <c r="WBL134" t="s">
        <v>61</v>
      </c>
      <c r="WBM134" t="s">
        <v>61</v>
      </c>
      <c r="WBN134" t="s">
        <v>61</v>
      </c>
      <c r="WBO134" t="s">
        <v>61</v>
      </c>
      <c r="WBP134" t="s">
        <v>61</v>
      </c>
      <c r="WBQ134" t="s">
        <v>61</v>
      </c>
      <c r="WBR134" t="s">
        <v>61</v>
      </c>
      <c r="WBS134" t="s">
        <v>61</v>
      </c>
      <c r="WBT134" t="s">
        <v>61</v>
      </c>
      <c r="WBU134" t="s">
        <v>61</v>
      </c>
      <c r="WBV134" t="s">
        <v>61</v>
      </c>
      <c r="WBW134" t="s">
        <v>61</v>
      </c>
      <c r="WBX134" t="s">
        <v>61</v>
      </c>
      <c r="WBY134" t="s">
        <v>61</v>
      </c>
      <c r="WBZ134" t="s">
        <v>61</v>
      </c>
      <c r="WCA134" t="s">
        <v>61</v>
      </c>
      <c r="WCB134" t="s">
        <v>61</v>
      </c>
      <c r="WCC134" t="s">
        <v>61</v>
      </c>
      <c r="WCD134" t="s">
        <v>61</v>
      </c>
      <c r="WCE134" t="s">
        <v>61</v>
      </c>
      <c r="WCF134" t="s">
        <v>61</v>
      </c>
      <c r="WCG134" t="s">
        <v>61</v>
      </c>
      <c r="WCH134" t="s">
        <v>61</v>
      </c>
      <c r="WCI134" t="s">
        <v>61</v>
      </c>
      <c r="WCJ134" t="s">
        <v>61</v>
      </c>
      <c r="WCK134" t="s">
        <v>61</v>
      </c>
      <c r="WCL134" t="s">
        <v>61</v>
      </c>
      <c r="WCM134" t="s">
        <v>61</v>
      </c>
      <c r="WCN134" t="s">
        <v>61</v>
      </c>
      <c r="WCO134" t="s">
        <v>61</v>
      </c>
      <c r="WCP134" t="s">
        <v>61</v>
      </c>
      <c r="WCQ134" t="s">
        <v>61</v>
      </c>
      <c r="WCR134" t="s">
        <v>61</v>
      </c>
      <c r="WCS134" t="s">
        <v>61</v>
      </c>
      <c r="WCT134" t="s">
        <v>61</v>
      </c>
      <c r="WCU134" t="s">
        <v>61</v>
      </c>
      <c r="WCV134" t="s">
        <v>61</v>
      </c>
      <c r="WCW134" t="s">
        <v>61</v>
      </c>
      <c r="WCX134" t="s">
        <v>61</v>
      </c>
      <c r="WCY134" t="s">
        <v>61</v>
      </c>
      <c r="WCZ134" t="s">
        <v>61</v>
      </c>
      <c r="WDA134" t="s">
        <v>61</v>
      </c>
      <c r="WDB134" t="s">
        <v>61</v>
      </c>
      <c r="WDC134" t="s">
        <v>61</v>
      </c>
      <c r="WDD134" t="s">
        <v>61</v>
      </c>
      <c r="WDE134" t="s">
        <v>61</v>
      </c>
      <c r="WDF134" t="s">
        <v>61</v>
      </c>
      <c r="WDG134" t="s">
        <v>61</v>
      </c>
      <c r="WDH134" t="s">
        <v>61</v>
      </c>
      <c r="WDI134" t="s">
        <v>61</v>
      </c>
      <c r="WDJ134" t="s">
        <v>61</v>
      </c>
      <c r="WDK134" t="s">
        <v>61</v>
      </c>
      <c r="WDL134" t="s">
        <v>61</v>
      </c>
      <c r="WDM134" t="s">
        <v>61</v>
      </c>
      <c r="WDN134" t="s">
        <v>61</v>
      </c>
      <c r="WDO134" t="s">
        <v>61</v>
      </c>
      <c r="WDP134" t="s">
        <v>61</v>
      </c>
      <c r="WDQ134" t="s">
        <v>61</v>
      </c>
      <c r="WDR134" t="s">
        <v>61</v>
      </c>
      <c r="WDS134" t="s">
        <v>61</v>
      </c>
      <c r="WDT134" t="s">
        <v>61</v>
      </c>
      <c r="WDU134" t="s">
        <v>61</v>
      </c>
      <c r="WDV134" t="s">
        <v>61</v>
      </c>
      <c r="WDW134" t="s">
        <v>61</v>
      </c>
      <c r="WDX134" t="s">
        <v>61</v>
      </c>
      <c r="WDY134" t="s">
        <v>61</v>
      </c>
      <c r="WDZ134" t="s">
        <v>61</v>
      </c>
      <c r="WEA134" t="s">
        <v>61</v>
      </c>
      <c r="WEB134" t="s">
        <v>61</v>
      </c>
      <c r="WEC134" t="s">
        <v>61</v>
      </c>
      <c r="WED134" t="s">
        <v>61</v>
      </c>
      <c r="WEE134" t="s">
        <v>61</v>
      </c>
      <c r="WEF134" t="s">
        <v>61</v>
      </c>
      <c r="WEG134" t="s">
        <v>61</v>
      </c>
      <c r="WEH134" t="s">
        <v>61</v>
      </c>
      <c r="WEI134" t="s">
        <v>61</v>
      </c>
      <c r="WEJ134" t="s">
        <v>61</v>
      </c>
      <c r="WEK134" t="s">
        <v>61</v>
      </c>
      <c r="WEL134" t="s">
        <v>61</v>
      </c>
      <c r="WEM134" t="s">
        <v>61</v>
      </c>
      <c r="WEN134" t="s">
        <v>61</v>
      </c>
      <c r="WEO134" t="s">
        <v>61</v>
      </c>
      <c r="WEP134" t="s">
        <v>61</v>
      </c>
      <c r="WEQ134" t="s">
        <v>61</v>
      </c>
      <c r="WER134" t="s">
        <v>61</v>
      </c>
      <c r="WES134" t="s">
        <v>61</v>
      </c>
      <c r="WET134" t="s">
        <v>61</v>
      </c>
      <c r="WEU134" t="s">
        <v>61</v>
      </c>
      <c r="WEV134" t="s">
        <v>61</v>
      </c>
      <c r="WEW134" t="s">
        <v>61</v>
      </c>
      <c r="WEX134" t="s">
        <v>61</v>
      </c>
      <c r="WEY134" t="s">
        <v>61</v>
      </c>
      <c r="WEZ134" t="s">
        <v>61</v>
      </c>
      <c r="WFA134" t="s">
        <v>61</v>
      </c>
      <c r="WFB134" t="s">
        <v>61</v>
      </c>
      <c r="WFC134" t="s">
        <v>61</v>
      </c>
      <c r="WFD134" t="s">
        <v>61</v>
      </c>
      <c r="WFE134" t="s">
        <v>61</v>
      </c>
      <c r="WFF134" t="s">
        <v>61</v>
      </c>
      <c r="WFG134" t="s">
        <v>61</v>
      </c>
      <c r="WFH134" t="s">
        <v>61</v>
      </c>
      <c r="WFI134" t="s">
        <v>61</v>
      </c>
      <c r="WFJ134" t="s">
        <v>61</v>
      </c>
      <c r="WFK134" t="s">
        <v>61</v>
      </c>
      <c r="WFL134" t="s">
        <v>61</v>
      </c>
      <c r="WFM134" t="s">
        <v>61</v>
      </c>
      <c r="WFN134" t="s">
        <v>61</v>
      </c>
      <c r="WFO134" t="s">
        <v>61</v>
      </c>
      <c r="WFP134" t="s">
        <v>61</v>
      </c>
      <c r="WFQ134" t="s">
        <v>61</v>
      </c>
      <c r="WFR134" t="s">
        <v>61</v>
      </c>
      <c r="WFS134" t="s">
        <v>61</v>
      </c>
      <c r="WFT134" t="s">
        <v>61</v>
      </c>
      <c r="WFU134" t="s">
        <v>61</v>
      </c>
      <c r="WFV134" t="s">
        <v>61</v>
      </c>
      <c r="WFW134" t="s">
        <v>61</v>
      </c>
      <c r="WFX134" t="s">
        <v>61</v>
      </c>
      <c r="WFY134" t="s">
        <v>61</v>
      </c>
      <c r="WFZ134" t="s">
        <v>61</v>
      </c>
      <c r="WGA134" t="s">
        <v>61</v>
      </c>
      <c r="WGB134" t="s">
        <v>61</v>
      </c>
      <c r="WGC134" t="s">
        <v>61</v>
      </c>
      <c r="WGD134" t="s">
        <v>61</v>
      </c>
      <c r="WGE134" t="s">
        <v>61</v>
      </c>
      <c r="WGF134" t="s">
        <v>61</v>
      </c>
      <c r="WGG134" t="s">
        <v>61</v>
      </c>
      <c r="WGH134" t="s">
        <v>61</v>
      </c>
      <c r="WGI134" t="s">
        <v>61</v>
      </c>
      <c r="WGJ134" t="s">
        <v>61</v>
      </c>
      <c r="WGK134" t="s">
        <v>61</v>
      </c>
      <c r="WGL134" t="s">
        <v>61</v>
      </c>
      <c r="WGM134" t="s">
        <v>61</v>
      </c>
      <c r="WGN134" t="s">
        <v>61</v>
      </c>
      <c r="WGO134" t="s">
        <v>61</v>
      </c>
      <c r="WGP134" t="s">
        <v>61</v>
      </c>
      <c r="WGQ134" t="s">
        <v>61</v>
      </c>
      <c r="WGR134" t="s">
        <v>61</v>
      </c>
      <c r="WGS134" t="s">
        <v>61</v>
      </c>
      <c r="WGT134" t="s">
        <v>61</v>
      </c>
      <c r="WGU134" t="s">
        <v>61</v>
      </c>
      <c r="WGV134" t="s">
        <v>61</v>
      </c>
      <c r="WGW134" t="s">
        <v>61</v>
      </c>
      <c r="WGX134" t="s">
        <v>61</v>
      </c>
      <c r="WGY134" t="s">
        <v>61</v>
      </c>
      <c r="WGZ134" t="s">
        <v>61</v>
      </c>
      <c r="WHA134" t="s">
        <v>61</v>
      </c>
      <c r="WHB134" t="s">
        <v>61</v>
      </c>
      <c r="WHC134" t="s">
        <v>61</v>
      </c>
      <c r="WHD134" t="s">
        <v>61</v>
      </c>
      <c r="WHE134" t="s">
        <v>61</v>
      </c>
      <c r="WHF134" t="s">
        <v>61</v>
      </c>
      <c r="WHG134" t="s">
        <v>61</v>
      </c>
      <c r="WHH134" t="s">
        <v>61</v>
      </c>
      <c r="WHI134" t="s">
        <v>61</v>
      </c>
      <c r="WHJ134" t="s">
        <v>61</v>
      </c>
      <c r="WHK134" t="s">
        <v>61</v>
      </c>
      <c r="WHL134" t="s">
        <v>61</v>
      </c>
      <c r="WHM134" t="s">
        <v>61</v>
      </c>
      <c r="WHN134" t="s">
        <v>61</v>
      </c>
      <c r="WHO134" t="s">
        <v>61</v>
      </c>
      <c r="WHP134" t="s">
        <v>61</v>
      </c>
      <c r="WHQ134" t="s">
        <v>61</v>
      </c>
      <c r="WHR134" t="s">
        <v>61</v>
      </c>
      <c r="WHS134" t="s">
        <v>61</v>
      </c>
      <c r="WHT134" t="s">
        <v>61</v>
      </c>
      <c r="WHU134" t="s">
        <v>61</v>
      </c>
      <c r="WHV134" t="s">
        <v>61</v>
      </c>
      <c r="WHW134" t="s">
        <v>61</v>
      </c>
      <c r="WHX134" t="s">
        <v>61</v>
      </c>
      <c r="WHY134" t="s">
        <v>61</v>
      </c>
      <c r="WHZ134" t="s">
        <v>61</v>
      </c>
      <c r="WIA134" t="s">
        <v>61</v>
      </c>
      <c r="WIB134" t="s">
        <v>61</v>
      </c>
      <c r="WIC134" t="s">
        <v>61</v>
      </c>
      <c r="WID134" t="s">
        <v>61</v>
      </c>
      <c r="WIE134" t="s">
        <v>61</v>
      </c>
      <c r="WIF134" t="s">
        <v>61</v>
      </c>
      <c r="WIG134" t="s">
        <v>61</v>
      </c>
      <c r="WIH134" t="s">
        <v>61</v>
      </c>
      <c r="WII134" t="s">
        <v>61</v>
      </c>
      <c r="WIJ134" t="s">
        <v>61</v>
      </c>
      <c r="WIK134" t="s">
        <v>61</v>
      </c>
      <c r="WIL134" t="s">
        <v>61</v>
      </c>
      <c r="WIM134" t="s">
        <v>61</v>
      </c>
      <c r="WIN134" t="s">
        <v>61</v>
      </c>
      <c r="WIO134" t="s">
        <v>61</v>
      </c>
      <c r="WIP134" t="s">
        <v>61</v>
      </c>
      <c r="WIQ134" t="s">
        <v>61</v>
      </c>
      <c r="WIR134" t="s">
        <v>61</v>
      </c>
      <c r="WIS134" t="s">
        <v>61</v>
      </c>
      <c r="WIT134" t="s">
        <v>61</v>
      </c>
      <c r="WIU134" t="s">
        <v>61</v>
      </c>
      <c r="WIV134" t="s">
        <v>61</v>
      </c>
      <c r="WIW134" t="s">
        <v>61</v>
      </c>
      <c r="WIX134" t="s">
        <v>61</v>
      </c>
      <c r="WIY134" t="s">
        <v>61</v>
      </c>
      <c r="WIZ134" t="s">
        <v>61</v>
      </c>
      <c r="WJA134" t="s">
        <v>61</v>
      </c>
      <c r="WJB134" t="s">
        <v>61</v>
      </c>
      <c r="WJC134" t="s">
        <v>61</v>
      </c>
      <c r="WJD134" t="s">
        <v>61</v>
      </c>
      <c r="WJE134" t="s">
        <v>61</v>
      </c>
      <c r="WJF134" t="s">
        <v>61</v>
      </c>
      <c r="WJG134" t="s">
        <v>61</v>
      </c>
      <c r="WJH134" t="s">
        <v>61</v>
      </c>
      <c r="WJI134" t="s">
        <v>61</v>
      </c>
      <c r="WJJ134" t="s">
        <v>61</v>
      </c>
      <c r="WJK134" t="s">
        <v>61</v>
      </c>
      <c r="WJL134" t="s">
        <v>61</v>
      </c>
      <c r="WJM134" t="s">
        <v>61</v>
      </c>
      <c r="WJN134" t="s">
        <v>61</v>
      </c>
      <c r="WJO134" t="s">
        <v>61</v>
      </c>
      <c r="WJP134" t="s">
        <v>61</v>
      </c>
      <c r="WJQ134" t="s">
        <v>61</v>
      </c>
      <c r="WJR134" t="s">
        <v>61</v>
      </c>
      <c r="WJS134" t="s">
        <v>61</v>
      </c>
      <c r="WJT134" t="s">
        <v>61</v>
      </c>
      <c r="WJU134" t="s">
        <v>61</v>
      </c>
      <c r="WJV134" t="s">
        <v>61</v>
      </c>
      <c r="WJW134" t="s">
        <v>61</v>
      </c>
      <c r="WJX134" t="s">
        <v>61</v>
      </c>
      <c r="WJY134" t="s">
        <v>61</v>
      </c>
      <c r="WJZ134" t="s">
        <v>61</v>
      </c>
      <c r="WKA134" t="s">
        <v>61</v>
      </c>
      <c r="WKB134" t="s">
        <v>61</v>
      </c>
      <c r="WKC134" t="s">
        <v>61</v>
      </c>
      <c r="WKD134" t="s">
        <v>61</v>
      </c>
      <c r="WKE134" t="s">
        <v>61</v>
      </c>
      <c r="WKF134" t="s">
        <v>61</v>
      </c>
      <c r="WKG134" t="s">
        <v>61</v>
      </c>
      <c r="WKH134" t="s">
        <v>61</v>
      </c>
      <c r="WKI134" t="s">
        <v>61</v>
      </c>
      <c r="WKJ134" t="s">
        <v>61</v>
      </c>
      <c r="WKK134" t="s">
        <v>61</v>
      </c>
      <c r="WKL134" t="s">
        <v>61</v>
      </c>
      <c r="WKM134" t="s">
        <v>61</v>
      </c>
      <c r="WKN134" t="s">
        <v>61</v>
      </c>
      <c r="WKO134" t="s">
        <v>61</v>
      </c>
      <c r="WKP134" t="s">
        <v>61</v>
      </c>
      <c r="WKQ134" t="s">
        <v>61</v>
      </c>
      <c r="WKR134" t="s">
        <v>61</v>
      </c>
      <c r="WKS134" t="s">
        <v>61</v>
      </c>
      <c r="WKT134" t="s">
        <v>61</v>
      </c>
      <c r="WKU134" t="s">
        <v>61</v>
      </c>
      <c r="WKV134" t="s">
        <v>61</v>
      </c>
      <c r="WKW134" t="s">
        <v>61</v>
      </c>
      <c r="WKX134" t="s">
        <v>61</v>
      </c>
      <c r="WKY134" t="s">
        <v>61</v>
      </c>
      <c r="WKZ134" t="s">
        <v>61</v>
      </c>
      <c r="WLA134" t="s">
        <v>61</v>
      </c>
      <c r="WLB134" t="s">
        <v>61</v>
      </c>
      <c r="WLC134" t="s">
        <v>61</v>
      </c>
      <c r="WLD134" t="s">
        <v>61</v>
      </c>
      <c r="WLE134" t="s">
        <v>61</v>
      </c>
      <c r="WLF134" t="s">
        <v>61</v>
      </c>
      <c r="WLG134" t="s">
        <v>61</v>
      </c>
      <c r="WLH134" t="s">
        <v>61</v>
      </c>
      <c r="WLI134" t="s">
        <v>61</v>
      </c>
      <c r="WLJ134" t="s">
        <v>61</v>
      </c>
      <c r="WLK134" t="s">
        <v>61</v>
      </c>
      <c r="WLL134" t="s">
        <v>61</v>
      </c>
      <c r="WLM134" t="s">
        <v>61</v>
      </c>
      <c r="WLN134" t="s">
        <v>61</v>
      </c>
      <c r="WLO134" t="s">
        <v>61</v>
      </c>
      <c r="WLP134" t="s">
        <v>61</v>
      </c>
      <c r="WLQ134" t="s">
        <v>61</v>
      </c>
      <c r="WLR134" t="s">
        <v>61</v>
      </c>
      <c r="WLS134" t="s">
        <v>61</v>
      </c>
      <c r="WLT134" t="s">
        <v>61</v>
      </c>
      <c r="WLU134" t="s">
        <v>61</v>
      </c>
      <c r="WLV134" t="s">
        <v>61</v>
      </c>
      <c r="WLW134" t="s">
        <v>61</v>
      </c>
      <c r="WLX134" t="s">
        <v>61</v>
      </c>
      <c r="WLY134" t="s">
        <v>61</v>
      </c>
      <c r="WLZ134" t="s">
        <v>61</v>
      </c>
      <c r="WMA134" t="s">
        <v>61</v>
      </c>
      <c r="WMB134" t="s">
        <v>61</v>
      </c>
      <c r="WMC134" t="s">
        <v>61</v>
      </c>
      <c r="WMD134" t="s">
        <v>61</v>
      </c>
      <c r="WME134" t="s">
        <v>61</v>
      </c>
      <c r="WMF134" t="s">
        <v>61</v>
      </c>
      <c r="WMG134" t="s">
        <v>61</v>
      </c>
      <c r="WMH134" t="s">
        <v>61</v>
      </c>
      <c r="WMI134" t="s">
        <v>61</v>
      </c>
      <c r="WMJ134" t="s">
        <v>61</v>
      </c>
      <c r="WMK134" t="s">
        <v>61</v>
      </c>
      <c r="WML134" t="s">
        <v>61</v>
      </c>
      <c r="WMM134" t="s">
        <v>61</v>
      </c>
      <c r="WMN134" t="s">
        <v>61</v>
      </c>
      <c r="WMO134" t="s">
        <v>61</v>
      </c>
      <c r="WMP134" t="s">
        <v>61</v>
      </c>
      <c r="WMQ134" t="s">
        <v>61</v>
      </c>
      <c r="WMR134" t="s">
        <v>61</v>
      </c>
      <c r="WMS134" t="s">
        <v>61</v>
      </c>
      <c r="WMT134" t="s">
        <v>61</v>
      </c>
      <c r="WMU134" t="s">
        <v>61</v>
      </c>
      <c r="WMV134" t="s">
        <v>61</v>
      </c>
      <c r="WMW134" t="s">
        <v>61</v>
      </c>
      <c r="WMX134" t="s">
        <v>61</v>
      </c>
      <c r="WMY134" t="s">
        <v>61</v>
      </c>
      <c r="WMZ134" t="s">
        <v>61</v>
      </c>
      <c r="WNA134" t="s">
        <v>61</v>
      </c>
      <c r="WNB134" t="s">
        <v>61</v>
      </c>
      <c r="WNC134" t="s">
        <v>61</v>
      </c>
      <c r="WND134" t="s">
        <v>61</v>
      </c>
      <c r="WNE134" t="s">
        <v>61</v>
      </c>
      <c r="WNF134" t="s">
        <v>61</v>
      </c>
      <c r="WNG134" t="s">
        <v>61</v>
      </c>
      <c r="WNH134" t="s">
        <v>61</v>
      </c>
      <c r="WNI134" t="s">
        <v>61</v>
      </c>
      <c r="WNJ134" t="s">
        <v>61</v>
      </c>
      <c r="WNK134" t="s">
        <v>61</v>
      </c>
      <c r="WNL134" t="s">
        <v>61</v>
      </c>
      <c r="WNM134" t="s">
        <v>61</v>
      </c>
      <c r="WNN134" t="s">
        <v>61</v>
      </c>
      <c r="WNO134" t="s">
        <v>61</v>
      </c>
      <c r="WNP134" t="s">
        <v>61</v>
      </c>
      <c r="WNQ134" t="s">
        <v>61</v>
      </c>
      <c r="WNR134" t="s">
        <v>61</v>
      </c>
      <c r="WNS134" t="s">
        <v>61</v>
      </c>
      <c r="WNT134" t="s">
        <v>61</v>
      </c>
      <c r="WNU134" t="s">
        <v>61</v>
      </c>
      <c r="WNV134" t="s">
        <v>61</v>
      </c>
      <c r="WNW134" t="s">
        <v>61</v>
      </c>
      <c r="WNX134" t="s">
        <v>61</v>
      </c>
      <c r="WNY134" t="s">
        <v>61</v>
      </c>
      <c r="WNZ134" t="s">
        <v>61</v>
      </c>
      <c r="WOA134" t="s">
        <v>61</v>
      </c>
      <c r="WOB134" t="s">
        <v>61</v>
      </c>
      <c r="WOC134" t="s">
        <v>61</v>
      </c>
      <c r="WOD134" t="s">
        <v>61</v>
      </c>
      <c r="WOE134" t="s">
        <v>61</v>
      </c>
      <c r="WOF134" t="s">
        <v>61</v>
      </c>
      <c r="WOG134" t="s">
        <v>61</v>
      </c>
      <c r="WOH134" t="s">
        <v>61</v>
      </c>
      <c r="WOI134" t="s">
        <v>61</v>
      </c>
      <c r="WOJ134" t="s">
        <v>61</v>
      </c>
      <c r="WOK134" t="s">
        <v>61</v>
      </c>
      <c r="WOL134" t="s">
        <v>61</v>
      </c>
      <c r="WOM134" t="s">
        <v>61</v>
      </c>
      <c r="WON134" t="s">
        <v>61</v>
      </c>
      <c r="WOO134" t="s">
        <v>61</v>
      </c>
      <c r="WOP134" t="s">
        <v>61</v>
      </c>
      <c r="WOQ134" t="s">
        <v>61</v>
      </c>
      <c r="WOR134" t="s">
        <v>61</v>
      </c>
      <c r="WOS134" t="s">
        <v>61</v>
      </c>
      <c r="WOT134" t="s">
        <v>61</v>
      </c>
      <c r="WOU134" t="s">
        <v>61</v>
      </c>
      <c r="WOV134" t="s">
        <v>61</v>
      </c>
      <c r="WOW134" t="s">
        <v>61</v>
      </c>
      <c r="WOX134" t="s">
        <v>61</v>
      </c>
      <c r="WOY134" t="s">
        <v>61</v>
      </c>
      <c r="WOZ134" t="s">
        <v>61</v>
      </c>
      <c r="WPA134" t="s">
        <v>61</v>
      </c>
      <c r="WPB134" t="s">
        <v>61</v>
      </c>
      <c r="WPC134" t="s">
        <v>61</v>
      </c>
      <c r="WPD134" t="s">
        <v>61</v>
      </c>
      <c r="WPE134" t="s">
        <v>61</v>
      </c>
      <c r="WPF134" t="s">
        <v>61</v>
      </c>
      <c r="WPG134" t="s">
        <v>61</v>
      </c>
      <c r="WPH134" t="s">
        <v>61</v>
      </c>
      <c r="WPI134" t="s">
        <v>61</v>
      </c>
      <c r="WPJ134" t="s">
        <v>61</v>
      </c>
      <c r="WPK134" t="s">
        <v>61</v>
      </c>
      <c r="WPL134" t="s">
        <v>61</v>
      </c>
      <c r="WPM134" t="s">
        <v>61</v>
      </c>
      <c r="WPN134" t="s">
        <v>61</v>
      </c>
      <c r="WPO134" t="s">
        <v>61</v>
      </c>
      <c r="WPP134" t="s">
        <v>61</v>
      </c>
      <c r="WPQ134" t="s">
        <v>61</v>
      </c>
      <c r="WPR134" t="s">
        <v>61</v>
      </c>
      <c r="WPS134" t="s">
        <v>61</v>
      </c>
      <c r="WPT134" t="s">
        <v>61</v>
      </c>
      <c r="WPU134" t="s">
        <v>61</v>
      </c>
      <c r="WPV134" t="s">
        <v>61</v>
      </c>
      <c r="WPW134" t="s">
        <v>61</v>
      </c>
      <c r="WPX134" t="s">
        <v>61</v>
      </c>
      <c r="WPY134" t="s">
        <v>61</v>
      </c>
      <c r="WPZ134" t="s">
        <v>61</v>
      </c>
      <c r="WQA134" t="s">
        <v>61</v>
      </c>
      <c r="WQB134" t="s">
        <v>61</v>
      </c>
      <c r="WQC134" t="s">
        <v>61</v>
      </c>
      <c r="WQD134" t="s">
        <v>61</v>
      </c>
      <c r="WQE134" t="s">
        <v>61</v>
      </c>
      <c r="WQF134" t="s">
        <v>61</v>
      </c>
      <c r="WQG134" t="s">
        <v>61</v>
      </c>
      <c r="WQH134" t="s">
        <v>61</v>
      </c>
      <c r="WQI134" t="s">
        <v>61</v>
      </c>
      <c r="WQJ134" t="s">
        <v>61</v>
      </c>
      <c r="WQK134" t="s">
        <v>61</v>
      </c>
      <c r="WQL134" t="s">
        <v>61</v>
      </c>
      <c r="WQM134" t="s">
        <v>61</v>
      </c>
      <c r="WQN134" t="s">
        <v>61</v>
      </c>
      <c r="WQO134" t="s">
        <v>61</v>
      </c>
      <c r="WQP134" t="s">
        <v>61</v>
      </c>
      <c r="WQQ134" t="s">
        <v>61</v>
      </c>
      <c r="WQR134" t="s">
        <v>61</v>
      </c>
      <c r="WQS134" t="s">
        <v>61</v>
      </c>
      <c r="WQT134" t="s">
        <v>61</v>
      </c>
      <c r="WQU134" t="s">
        <v>61</v>
      </c>
      <c r="WQV134" t="s">
        <v>61</v>
      </c>
      <c r="WQW134" t="s">
        <v>61</v>
      </c>
      <c r="WQX134" t="s">
        <v>61</v>
      </c>
      <c r="WQY134" t="s">
        <v>61</v>
      </c>
      <c r="WQZ134" t="s">
        <v>61</v>
      </c>
      <c r="WRA134" t="s">
        <v>61</v>
      </c>
      <c r="WRB134" t="s">
        <v>61</v>
      </c>
      <c r="WRC134" t="s">
        <v>61</v>
      </c>
      <c r="WRD134" t="s">
        <v>61</v>
      </c>
      <c r="WRE134" t="s">
        <v>61</v>
      </c>
      <c r="WRF134" t="s">
        <v>61</v>
      </c>
      <c r="WRG134" t="s">
        <v>61</v>
      </c>
      <c r="WRH134" t="s">
        <v>61</v>
      </c>
      <c r="WRI134" t="s">
        <v>61</v>
      </c>
      <c r="WRJ134" t="s">
        <v>61</v>
      </c>
      <c r="WRK134" t="s">
        <v>61</v>
      </c>
      <c r="WRL134" t="s">
        <v>61</v>
      </c>
      <c r="WRM134" t="s">
        <v>61</v>
      </c>
      <c r="WRN134" t="s">
        <v>61</v>
      </c>
      <c r="WRO134" t="s">
        <v>61</v>
      </c>
      <c r="WRP134" t="s">
        <v>61</v>
      </c>
      <c r="WRQ134" t="s">
        <v>61</v>
      </c>
      <c r="WRR134" t="s">
        <v>61</v>
      </c>
      <c r="WRS134" t="s">
        <v>61</v>
      </c>
      <c r="WRT134" t="s">
        <v>61</v>
      </c>
      <c r="WRU134" t="s">
        <v>61</v>
      </c>
      <c r="WRV134" t="s">
        <v>61</v>
      </c>
      <c r="WRW134" t="s">
        <v>61</v>
      </c>
      <c r="WRX134" t="s">
        <v>61</v>
      </c>
      <c r="WRY134" t="s">
        <v>61</v>
      </c>
      <c r="WRZ134" t="s">
        <v>61</v>
      </c>
      <c r="WSA134" t="s">
        <v>61</v>
      </c>
      <c r="WSB134" t="s">
        <v>61</v>
      </c>
      <c r="WSC134" t="s">
        <v>61</v>
      </c>
      <c r="WSD134" t="s">
        <v>61</v>
      </c>
      <c r="WSE134" t="s">
        <v>61</v>
      </c>
      <c r="WSF134" t="s">
        <v>61</v>
      </c>
      <c r="WSG134" t="s">
        <v>61</v>
      </c>
      <c r="WSH134" t="s">
        <v>61</v>
      </c>
      <c r="WSI134" t="s">
        <v>61</v>
      </c>
      <c r="WSJ134" t="s">
        <v>61</v>
      </c>
      <c r="WSK134" t="s">
        <v>61</v>
      </c>
      <c r="WSL134" t="s">
        <v>61</v>
      </c>
      <c r="WSM134" t="s">
        <v>61</v>
      </c>
      <c r="WSN134" t="s">
        <v>61</v>
      </c>
      <c r="WSO134" t="s">
        <v>61</v>
      </c>
      <c r="WSP134" t="s">
        <v>61</v>
      </c>
      <c r="WSQ134" t="s">
        <v>61</v>
      </c>
      <c r="WSR134" t="s">
        <v>61</v>
      </c>
      <c r="WSS134" t="s">
        <v>61</v>
      </c>
      <c r="WST134" t="s">
        <v>61</v>
      </c>
      <c r="WSU134" t="s">
        <v>61</v>
      </c>
      <c r="WSV134" t="s">
        <v>61</v>
      </c>
      <c r="WSW134" t="s">
        <v>61</v>
      </c>
      <c r="WSX134" t="s">
        <v>61</v>
      </c>
      <c r="WSY134" t="s">
        <v>61</v>
      </c>
      <c r="WSZ134" t="s">
        <v>61</v>
      </c>
      <c r="WTA134" t="s">
        <v>61</v>
      </c>
      <c r="WTB134" t="s">
        <v>61</v>
      </c>
      <c r="WTC134" t="s">
        <v>61</v>
      </c>
      <c r="WTD134" t="s">
        <v>61</v>
      </c>
      <c r="WTE134" t="s">
        <v>61</v>
      </c>
      <c r="WTF134" t="s">
        <v>61</v>
      </c>
      <c r="WTG134" t="s">
        <v>61</v>
      </c>
      <c r="WTH134" t="s">
        <v>61</v>
      </c>
      <c r="WTI134" t="s">
        <v>61</v>
      </c>
      <c r="WTJ134" t="s">
        <v>61</v>
      </c>
      <c r="WTK134" t="s">
        <v>61</v>
      </c>
      <c r="WTL134" t="s">
        <v>61</v>
      </c>
      <c r="WTM134" t="s">
        <v>61</v>
      </c>
      <c r="WTN134" t="s">
        <v>61</v>
      </c>
      <c r="WTO134" t="s">
        <v>61</v>
      </c>
      <c r="WTP134" t="s">
        <v>61</v>
      </c>
      <c r="WTQ134" t="s">
        <v>61</v>
      </c>
      <c r="WTR134" t="s">
        <v>61</v>
      </c>
      <c r="WTS134" t="s">
        <v>61</v>
      </c>
      <c r="WTT134" t="s">
        <v>61</v>
      </c>
      <c r="WTU134" t="s">
        <v>61</v>
      </c>
      <c r="WTV134" t="s">
        <v>61</v>
      </c>
      <c r="WTW134" t="s">
        <v>61</v>
      </c>
      <c r="WTX134" t="s">
        <v>61</v>
      </c>
      <c r="WTY134" t="s">
        <v>61</v>
      </c>
      <c r="WTZ134" t="s">
        <v>61</v>
      </c>
      <c r="WUA134" t="s">
        <v>61</v>
      </c>
      <c r="WUB134" t="s">
        <v>61</v>
      </c>
      <c r="WUC134" t="s">
        <v>61</v>
      </c>
      <c r="WUD134" t="s">
        <v>61</v>
      </c>
      <c r="WUE134" t="s">
        <v>61</v>
      </c>
      <c r="WUF134" t="s">
        <v>61</v>
      </c>
      <c r="WUG134" t="s">
        <v>61</v>
      </c>
      <c r="WUH134" t="s">
        <v>61</v>
      </c>
      <c r="WUI134" t="s">
        <v>61</v>
      </c>
      <c r="WUJ134" t="s">
        <v>61</v>
      </c>
      <c r="WUK134" t="s">
        <v>61</v>
      </c>
      <c r="WUL134" t="s">
        <v>61</v>
      </c>
      <c r="WUM134" t="s">
        <v>61</v>
      </c>
      <c r="WUN134" t="s">
        <v>61</v>
      </c>
      <c r="WUO134" t="s">
        <v>61</v>
      </c>
      <c r="WUP134" t="s">
        <v>61</v>
      </c>
      <c r="WUQ134" t="s">
        <v>61</v>
      </c>
      <c r="WUR134" t="s">
        <v>61</v>
      </c>
      <c r="WUS134" t="s">
        <v>61</v>
      </c>
      <c r="WUT134" t="s">
        <v>61</v>
      </c>
      <c r="WUU134" t="s">
        <v>61</v>
      </c>
      <c r="WUV134" t="s">
        <v>61</v>
      </c>
      <c r="WUW134" t="s">
        <v>61</v>
      </c>
      <c r="WUX134" t="s">
        <v>61</v>
      </c>
      <c r="WUY134" t="s">
        <v>61</v>
      </c>
      <c r="WUZ134" t="s">
        <v>61</v>
      </c>
      <c r="WVA134" t="s">
        <v>61</v>
      </c>
      <c r="WVB134" t="s">
        <v>61</v>
      </c>
      <c r="WVC134" t="s">
        <v>61</v>
      </c>
      <c r="WVD134" t="s">
        <v>61</v>
      </c>
      <c r="WVE134" t="s">
        <v>61</v>
      </c>
      <c r="WVF134" t="s">
        <v>61</v>
      </c>
      <c r="WVG134" t="s">
        <v>61</v>
      </c>
      <c r="WVH134" t="s">
        <v>61</v>
      </c>
      <c r="WVI134" t="s">
        <v>61</v>
      </c>
      <c r="WVJ134" t="s">
        <v>61</v>
      </c>
      <c r="WVK134" t="s">
        <v>61</v>
      </c>
      <c r="WVL134" t="s">
        <v>61</v>
      </c>
      <c r="WVM134" t="s">
        <v>61</v>
      </c>
      <c r="WVN134" t="s">
        <v>61</v>
      </c>
      <c r="WVO134" t="s">
        <v>61</v>
      </c>
      <c r="WVP134" t="s">
        <v>61</v>
      </c>
      <c r="WVQ134" t="s">
        <v>61</v>
      </c>
      <c r="WVR134" t="s">
        <v>61</v>
      </c>
      <c r="WVS134" t="s">
        <v>61</v>
      </c>
      <c r="WVT134" t="s">
        <v>61</v>
      </c>
      <c r="WVU134" t="s">
        <v>61</v>
      </c>
      <c r="WVV134" t="s">
        <v>61</v>
      </c>
      <c r="WVW134" t="s">
        <v>61</v>
      </c>
      <c r="WVX134" t="s">
        <v>61</v>
      </c>
      <c r="WVY134" t="s">
        <v>61</v>
      </c>
      <c r="WVZ134" t="s">
        <v>61</v>
      </c>
      <c r="WWA134" t="s">
        <v>61</v>
      </c>
      <c r="WWB134" t="s">
        <v>61</v>
      </c>
      <c r="WWC134" t="s">
        <v>61</v>
      </c>
      <c r="WWD134" t="s">
        <v>61</v>
      </c>
      <c r="WWE134" t="s">
        <v>61</v>
      </c>
      <c r="WWF134" t="s">
        <v>61</v>
      </c>
      <c r="WWG134" t="s">
        <v>61</v>
      </c>
      <c r="WWH134" t="s">
        <v>61</v>
      </c>
      <c r="WWI134" t="s">
        <v>61</v>
      </c>
      <c r="WWJ134" t="s">
        <v>61</v>
      </c>
      <c r="WWK134" t="s">
        <v>61</v>
      </c>
      <c r="WWL134" t="s">
        <v>61</v>
      </c>
      <c r="WWM134" t="s">
        <v>61</v>
      </c>
      <c r="WWN134" t="s">
        <v>61</v>
      </c>
      <c r="WWO134" t="s">
        <v>61</v>
      </c>
      <c r="WWP134" t="s">
        <v>61</v>
      </c>
      <c r="WWQ134" t="s">
        <v>61</v>
      </c>
      <c r="WWR134" t="s">
        <v>61</v>
      </c>
      <c r="WWS134" t="s">
        <v>61</v>
      </c>
      <c r="WWT134" t="s">
        <v>61</v>
      </c>
      <c r="WWU134" t="s">
        <v>61</v>
      </c>
      <c r="WWV134" t="s">
        <v>61</v>
      </c>
      <c r="WWW134" t="s">
        <v>61</v>
      </c>
      <c r="WWX134" t="s">
        <v>61</v>
      </c>
      <c r="WWY134" t="s">
        <v>61</v>
      </c>
      <c r="WWZ134" t="s">
        <v>61</v>
      </c>
      <c r="WXA134" t="s">
        <v>61</v>
      </c>
      <c r="WXB134" t="s">
        <v>61</v>
      </c>
      <c r="WXC134" t="s">
        <v>61</v>
      </c>
      <c r="WXD134" t="s">
        <v>61</v>
      </c>
      <c r="WXE134" t="s">
        <v>61</v>
      </c>
      <c r="WXF134" t="s">
        <v>61</v>
      </c>
      <c r="WXG134" t="s">
        <v>61</v>
      </c>
      <c r="WXH134" t="s">
        <v>61</v>
      </c>
      <c r="WXI134" t="s">
        <v>61</v>
      </c>
      <c r="WXJ134" t="s">
        <v>61</v>
      </c>
      <c r="WXK134" t="s">
        <v>61</v>
      </c>
      <c r="WXL134" t="s">
        <v>61</v>
      </c>
      <c r="WXM134" t="s">
        <v>61</v>
      </c>
      <c r="WXN134" t="s">
        <v>61</v>
      </c>
      <c r="WXO134" t="s">
        <v>61</v>
      </c>
      <c r="WXP134" t="s">
        <v>61</v>
      </c>
      <c r="WXQ134" t="s">
        <v>61</v>
      </c>
      <c r="WXR134" t="s">
        <v>61</v>
      </c>
      <c r="WXS134" t="s">
        <v>61</v>
      </c>
      <c r="WXT134" t="s">
        <v>61</v>
      </c>
      <c r="WXU134" t="s">
        <v>61</v>
      </c>
      <c r="WXV134" t="s">
        <v>61</v>
      </c>
      <c r="WXW134" t="s">
        <v>61</v>
      </c>
      <c r="WXX134" t="s">
        <v>61</v>
      </c>
      <c r="WXY134" t="s">
        <v>61</v>
      </c>
      <c r="WXZ134" t="s">
        <v>61</v>
      </c>
      <c r="WYA134" t="s">
        <v>61</v>
      </c>
      <c r="WYB134" t="s">
        <v>61</v>
      </c>
      <c r="WYC134" t="s">
        <v>61</v>
      </c>
      <c r="WYD134" t="s">
        <v>61</v>
      </c>
      <c r="WYE134" t="s">
        <v>61</v>
      </c>
      <c r="WYF134" t="s">
        <v>61</v>
      </c>
      <c r="WYG134" t="s">
        <v>61</v>
      </c>
      <c r="WYH134" t="s">
        <v>61</v>
      </c>
      <c r="WYI134" t="s">
        <v>61</v>
      </c>
      <c r="WYJ134" t="s">
        <v>61</v>
      </c>
      <c r="WYK134" t="s">
        <v>61</v>
      </c>
      <c r="WYL134" t="s">
        <v>61</v>
      </c>
      <c r="WYM134" t="s">
        <v>61</v>
      </c>
      <c r="WYN134" t="s">
        <v>61</v>
      </c>
      <c r="WYO134" t="s">
        <v>61</v>
      </c>
      <c r="WYP134" t="s">
        <v>61</v>
      </c>
      <c r="WYQ134" t="s">
        <v>61</v>
      </c>
      <c r="WYR134" t="s">
        <v>61</v>
      </c>
      <c r="WYS134" t="s">
        <v>61</v>
      </c>
      <c r="WYT134" t="s">
        <v>61</v>
      </c>
      <c r="WYU134" t="s">
        <v>61</v>
      </c>
      <c r="WYV134" t="s">
        <v>61</v>
      </c>
      <c r="WYW134" t="s">
        <v>61</v>
      </c>
      <c r="WYX134" t="s">
        <v>61</v>
      </c>
      <c r="WYY134" t="s">
        <v>61</v>
      </c>
      <c r="WYZ134" t="s">
        <v>61</v>
      </c>
      <c r="WZA134" t="s">
        <v>61</v>
      </c>
      <c r="WZB134" t="s">
        <v>61</v>
      </c>
      <c r="WZC134" t="s">
        <v>61</v>
      </c>
      <c r="WZD134" t="s">
        <v>61</v>
      </c>
      <c r="WZE134" t="s">
        <v>61</v>
      </c>
      <c r="WZF134" t="s">
        <v>61</v>
      </c>
      <c r="WZG134" t="s">
        <v>61</v>
      </c>
      <c r="WZH134" t="s">
        <v>61</v>
      </c>
      <c r="WZI134" t="s">
        <v>61</v>
      </c>
      <c r="WZJ134" t="s">
        <v>61</v>
      </c>
      <c r="WZK134" t="s">
        <v>61</v>
      </c>
      <c r="WZL134" t="s">
        <v>61</v>
      </c>
      <c r="WZM134" t="s">
        <v>61</v>
      </c>
      <c r="WZN134" t="s">
        <v>61</v>
      </c>
      <c r="WZO134" t="s">
        <v>61</v>
      </c>
      <c r="WZP134" t="s">
        <v>61</v>
      </c>
      <c r="WZQ134" t="s">
        <v>61</v>
      </c>
      <c r="WZR134" t="s">
        <v>61</v>
      </c>
      <c r="WZS134" t="s">
        <v>61</v>
      </c>
      <c r="WZT134" t="s">
        <v>61</v>
      </c>
      <c r="WZU134" t="s">
        <v>61</v>
      </c>
      <c r="WZV134" t="s">
        <v>61</v>
      </c>
      <c r="WZW134" t="s">
        <v>61</v>
      </c>
      <c r="WZX134" t="s">
        <v>61</v>
      </c>
      <c r="WZY134" t="s">
        <v>61</v>
      </c>
      <c r="WZZ134" t="s">
        <v>61</v>
      </c>
      <c r="XAA134" t="s">
        <v>61</v>
      </c>
      <c r="XAB134" t="s">
        <v>61</v>
      </c>
      <c r="XAC134" t="s">
        <v>61</v>
      </c>
      <c r="XAD134" t="s">
        <v>61</v>
      </c>
      <c r="XAE134" t="s">
        <v>61</v>
      </c>
      <c r="XAF134" t="s">
        <v>61</v>
      </c>
      <c r="XAG134" t="s">
        <v>61</v>
      </c>
      <c r="XAH134" t="s">
        <v>61</v>
      </c>
      <c r="XAI134" t="s">
        <v>61</v>
      </c>
      <c r="XAJ134" t="s">
        <v>61</v>
      </c>
      <c r="XAK134" t="s">
        <v>61</v>
      </c>
      <c r="XAL134" t="s">
        <v>61</v>
      </c>
      <c r="XAM134" t="s">
        <v>61</v>
      </c>
      <c r="XAN134" t="s">
        <v>61</v>
      </c>
      <c r="XAO134" t="s">
        <v>61</v>
      </c>
      <c r="XAP134" t="s">
        <v>61</v>
      </c>
      <c r="XAQ134" t="s">
        <v>61</v>
      </c>
      <c r="XAR134" t="s">
        <v>61</v>
      </c>
      <c r="XAS134" t="s">
        <v>61</v>
      </c>
      <c r="XAT134" t="s">
        <v>61</v>
      </c>
      <c r="XAU134" t="s">
        <v>61</v>
      </c>
      <c r="XAV134" t="s">
        <v>61</v>
      </c>
      <c r="XAW134" t="s">
        <v>61</v>
      </c>
      <c r="XAX134" t="s">
        <v>61</v>
      </c>
      <c r="XAY134" t="s">
        <v>61</v>
      </c>
      <c r="XAZ134" t="s">
        <v>61</v>
      </c>
      <c r="XBA134" t="s">
        <v>61</v>
      </c>
      <c r="XBB134" t="s">
        <v>61</v>
      </c>
      <c r="XBC134" t="s">
        <v>61</v>
      </c>
      <c r="XBD134" t="s">
        <v>61</v>
      </c>
      <c r="XBE134" t="s">
        <v>61</v>
      </c>
      <c r="XBF134" t="s">
        <v>61</v>
      </c>
      <c r="XBG134" t="s">
        <v>61</v>
      </c>
      <c r="XBH134" t="s">
        <v>61</v>
      </c>
      <c r="XBI134" t="s">
        <v>61</v>
      </c>
      <c r="XBJ134" t="s">
        <v>61</v>
      </c>
      <c r="XBK134" t="s">
        <v>61</v>
      </c>
      <c r="XBL134" t="s">
        <v>61</v>
      </c>
      <c r="XBM134" t="s">
        <v>61</v>
      </c>
      <c r="XBN134" t="s">
        <v>61</v>
      </c>
      <c r="XBO134" t="s">
        <v>61</v>
      </c>
      <c r="XBP134" t="s">
        <v>61</v>
      </c>
      <c r="XBQ134" t="s">
        <v>61</v>
      </c>
      <c r="XBR134" t="s">
        <v>61</v>
      </c>
      <c r="XBS134" t="s">
        <v>61</v>
      </c>
      <c r="XBT134" t="s">
        <v>61</v>
      </c>
      <c r="XBU134" t="s">
        <v>61</v>
      </c>
      <c r="XBV134" t="s">
        <v>61</v>
      </c>
      <c r="XBW134" t="s">
        <v>61</v>
      </c>
      <c r="XBX134" t="s">
        <v>61</v>
      </c>
      <c r="XBY134" t="s">
        <v>61</v>
      </c>
      <c r="XBZ134" t="s">
        <v>61</v>
      </c>
      <c r="XCA134" t="s">
        <v>61</v>
      </c>
      <c r="XCB134" t="s">
        <v>61</v>
      </c>
      <c r="XCC134" t="s">
        <v>61</v>
      </c>
      <c r="XCD134" t="s">
        <v>61</v>
      </c>
      <c r="XCE134" t="s">
        <v>61</v>
      </c>
      <c r="XCF134" t="s">
        <v>61</v>
      </c>
      <c r="XCG134" t="s">
        <v>61</v>
      </c>
      <c r="XCH134" t="s">
        <v>61</v>
      </c>
      <c r="XCI134" t="s">
        <v>61</v>
      </c>
      <c r="XCJ134" t="s">
        <v>61</v>
      </c>
      <c r="XCK134" t="s">
        <v>61</v>
      </c>
      <c r="XCL134" t="s">
        <v>61</v>
      </c>
      <c r="XCM134" t="s">
        <v>61</v>
      </c>
      <c r="XCN134" t="s">
        <v>61</v>
      </c>
      <c r="XCO134" t="s">
        <v>61</v>
      </c>
      <c r="XCP134" t="s">
        <v>61</v>
      </c>
      <c r="XCQ134" t="s">
        <v>61</v>
      </c>
      <c r="XCR134" t="s">
        <v>61</v>
      </c>
      <c r="XCS134" t="s">
        <v>61</v>
      </c>
      <c r="XCT134" t="s">
        <v>61</v>
      </c>
      <c r="XCU134" t="s">
        <v>61</v>
      </c>
      <c r="XCV134" t="s">
        <v>61</v>
      </c>
      <c r="XCW134" t="s">
        <v>61</v>
      </c>
      <c r="XCX134" t="s">
        <v>61</v>
      </c>
      <c r="XCY134" t="s">
        <v>61</v>
      </c>
      <c r="XCZ134" t="s">
        <v>61</v>
      </c>
      <c r="XDA134" t="s">
        <v>61</v>
      </c>
      <c r="XDB134" t="s">
        <v>61</v>
      </c>
      <c r="XDC134" t="s">
        <v>61</v>
      </c>
      <c r="XDD134" t="s">
        <v>61</v>
      </c>
      <c r="XDE134" t="s">
        <v>61</v>
      </c>
      <c r="XDF134" t="s">
        <v>61</v>
      </c>
      <c r="XDG134" t="s">
        <v>61</v>
      </c>
      <c r="XDH134" t="s">
        <v>61</v>
      </c>
      <c r="XDI134" t="s">
        <v>61</v>
      </c>
      <c r="XDJ134" t="s">
        <v>61</v>
      </c>
      <c r="XDK134" t="s">
        <v>61</v>
      </c>
      <c r="XDL134" t="s">
        <v>61</v>
      </c>
      <c r="XDM134" t="s">
        <v>61</v>
      </c>
      <c r="XDN134" t="s">
        <v>61</v>
      </c>
      <c r="XDO134" t="s">
        <v>61</v>
      </c>
      <c r="XDP134" t="s">
        <v>61</v>
      </c>
      <c r="XDQ134" t="s">
        <v>61</v>
      </c>
      <c r="XDR134" t="s">
        <v>61</v>
      </c>
      <c r="XDS134" t="s">
        <v>61</v>
      </c>
      <c r="XDT134" t="s">
        <v>61</v>
      </c>
      <c r="XDU134" t="s">
        <v>61</v>
      </c>
      <c r="XDV134" t="s">
        <v>61</v>
      </c>
      <c r="XDW134" t="s">
        <v>61</v>
      </c>
      <c r="XDX134" t="s">
        <v>61</v>
      </c>
      <c r="XDY134" t="s">
        <v>61</v>
      </c>
      <c r="XDZ134" t="s">
        <v>61</v>
      </c>
      <c r="XEA134" t="s">
        <v>61</v>
      </c>
      <c r="XEB134" t="s">
        <v>61</v>
      </c>
      <c r="XEC134" t="s">
        <v>61</v>
      </c>
      <c r="XED134" t="s">
        <v>61</v>
      </c>
      <c r="XEE134" t="s">
        <v>61</v>
      </c>
      <c r="XEF134" t="s">
        <v>61</v>
      </c>
      <c r="XEG134" t="s">
        <v>61</v>
      </c>
      <c r="XEH134" t="s">
        <v>61</v>
      </c>
      <c r="XEI134" t="s">
        <v>61</v>
      </c>
      <c r="XEJ134" t="s">
        <v>61</v>
      </c>
      <c r="XEK134" t="s">
        <v>61</v>
      </c>
      <c r="XEL134" t="s">
        <v>61</v>
      </c>
      <c r="XEM134" t="s">
        <v>61</v>
      </c>
      <c r="XEN134" t="s">
        <v>61</v>
      </c>
      <c r="XEO134" t="s">
        <v>61</v>
      </c>
      <c r="XEP134" t="s">
        <v>61</v>
      </c>
      <c r="XEQ134" t="s">
        <v>61</v>
      </c>
      <c r="XER134" t="s">
        <v>61</v>
      </c>
      <c r="XES134" t="s">
        <v>61</v>
      </c>
      <c r="XET134" t="s">
        <v>61</v>
      </c>
      <c r="XEU134" t="s">
        <v>61</v>
      </c>
      <c r="XEV134" t="s">
        <v>61</v>
      </c>
      <c r="XEW134" t="s">
        <v>61</v>
      </c>
      <c r="XEX134" t="s">
        <v>61</v>
      </c>
      <c r="XEY134" t="s">
        <v>61</v>
      </c>
      <c r="XEZ134" t="s">
        <v>61</v>
      </c>
      <c r="XFA134" t="s">
        <v>61</v>
      </c>
      <c r="XFB134" t="s">
        <v>61</v>
      </c>
      <c r="XFC134" t="s">
        <v>61</v>
      </c>
    </row>
  </sheetData>
  <sheetProtection pivotTables="0"/>
  <mergeCells count="3">
    <mergeCell ref="AG12:AO12"/>
    <mergeCell ref="AQ12:AY12"/>
    <mergeCell ref="W12:AE12"/>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M12"/>
  <sheetViews>
    <sheetView showGridLines="0" workbookViewId="0">
      <selection activeCell="G25" sqref="G25"/>
    </sheetView>
  </sheetViews>
  <sheetFormatPr defaultColWidth="9.109375" defaultRowHeight="13.8" x14ac:dyDescent="0.25"/>
  <cols>
    <col min="1" max="1" width="28" style="3" bestFit="1" customWidth="1"/>
    <col min="2" max="2" width="9.109375" style="3"/>
    <col min="3" max="5" width="9.6640625" style="3" customWidth="1"/>
    <col min="6" max="6" width="9.109375" style="3"/>
    <col min="7" max="7" width="15" style="3" bestFit="1" customWidth="1"/>
    <col min="8" max="8" width="9.109375" style="3"/>
    <col min="9" max="9" width="33.33203125" style="3" bestFit="1" customWidth="1"/>
    <col min="10" max="10" width="9.109375" style="3"/>
    <col min="11" max="11" width="33.5546875" style="3" customWidth="1"/>
    <col min="12" max="12" width="9.109375" style="3"/>
    <col min="13" max="13" width="30.5546875" style="3" bestFit="1" customWidth="1"/>
    <col min="14" max="16384" width="9.109375" style="3"/>
  </cols>
  <sheetData>
    <row r="3" spans="1:13" x14ac:dyDescent="0.25">
      <c r="A3" s="4" t="s">
        <v>42</v>
      </c>
      <c r="C3" s="4" t="s">
        <v>19</v>
      </c>
      <c r="D3" s="7"/>
      <c r="E3" s="4" t="s">
        <v>3</v>
      </c>
      <c r="G3" s="6" t="s">
        <v>39</v>
      </c>
      <c r="I3" s="6" t="s">
        <v>218</v>
      </c>
      <c r="K3" s="6" t="s">
        <v>219</v>
      </c>
      <c r="M3" s="6" t="s">
        <v>220</v>
      </c>
    </row>
    <row r="4" spans="1:13" x14ac:dyDescent="0.25">
      <c r="A4" s="2" t="s">
        <v>15</v>
      </c>
      <c r="C4" s="1">
        <v>44742</v>
      </c>
      <c r="D4" s="14"/>
      <c r="E4" s="1" t="s">
        <v>14</v>
      </c>
      <c r="G4" s="2" t="s">
        <v>22</v>
      </c>
      <c r="I4" s="2" t="s">
        <v>221</v>
      </c>
      <c r="K4" s="2" t="s">
        <v>221</v>
      </c>
      <c r="M4" s="2" t="s">
        <v>221</v>
      </c>
    </row>
    <row r="5" spans="1:13" x14ac:dyDescent="0.25">
      <c r="A5" s="2" t="s">
        <v>18</v>
      </c>
      <c r="C5" s="1">
        <v>45016</v>
      </c>
      <c r="D5" s="14"/>
      <c r="E5" s="1" t="s">
        <v>11</v>
      </c>
      <c r="G5" s="2" t="s">
        <v>40</v>
      </c>
      <c r="I5" s="2" t="s">
        <v>222</v>
      </c>
      <c r="K5" s="2" t="s">
        <v>222</v>
      </c>
      <c r="M5" s="2" t="s">
        <v>222</v>
      </c>
    </row>
    <row r="6" spans="1:13" x14ac:dyDescent="0.25">
      <c r="A6" s="2" t="s">
        <v>17</v>
      </c>
      <c r="C6" s="1">
        <v>44926</v>
      </c>
      <c r="D6" s="14"/>
      <c r="E6" s="1" t="s">
        <v>12</v>
      </c>
      <c r="G6" s="2" t="s">
        <v>41</v>
      </c>
      <c r="I6" s="2" t="s">
        <v>223</v>
      </c>
      <c r="K6" s="2" t="s">
        <v>223</v>
      </c>
      <c r="M6" s="2" t="s">
        <v>223</v>
      </c>
    </row>
    <row r="7" spans="1:13" x14ac:dyDescent="0.25">
      <c r="A7" s="2" t="s">
        <v>37</v>
      </c>
      <c r="G7" s="2" t="s">
        <v>23</v>
      </c>
      <c r="I7" s="2" t="s">
        <v>224</v>
      </c>
      <c r="K7" s="37" t="s">
        <v>224</v>
      </c>
      <c r="M7" s="2" t="s">
        <v>224</v>
      </c>
    </row>
    <row r="8" spans="1:13" x14ac:dyDescent="0.25">
      <c r="A8" s="2" t="s">
        <v>38</v>
      </c>
      <c r="I8" s="2" t="s">
        <v>225</v>
      </c>
      <c r="K8" s="2" t="s">
        <v>225</v>
      </c>
      <c r="M8" s="2" t="s">
        <v>225</v>
      </c>
    </row>
    <row r="9" spans="1:13" x14ac:dyDescent="0.25">
      <c r="A9" s="2" t="s">
        <v>16</v>
      </c>
      <c r="I9" s="2" t="s">
        <v>226</v>
      </c>
      <c r="K9" s="2" t="s">
        <v>226</v>
      </c>
      <c r="M9" s="2" t="s">
        <v>226</v>
      </c>
    </row>
    <row r="10" spans="1:13" x14ac:dyDescent="0.25">
      <c r="A10" s="2" t="s">
        <v>13</v>
      </c>
      <c r="I10" s="2" t="s">
        <v>227</v>
      </c>
      <c r="K10" s="2" t="s">
        <v>227</v>
      </c>
      <c r="M10" s="2" t="s">
        <v>227</v>
      </c>
    </row>
    <row r="11" spans="1:13" x14ac:dyDescent="0.25">
      <c r="I11" s="2" t="s">
        <v>228</v>
      </c>
      <c r="K11" s="2" t="s">
        <v>228</v>
      </c>
      <c r="M11" s="2" t="s">
        <v>228</v>
      </c>
    </row>
    <row r="12" spans="1:13" x14ac:dyDescent="0.25">
      <c r="I12" s="2" t="s">
        <v>229</v>
      </c>
      <c r="K12" s="2" t="s">
        <v>229</v>
      </c>
      <c r="M12" s="2" t="s">
        <v>229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L125"/>
  <sheetViews>
    <sheetView workbookViewId="0">
      <selection activeCell="A5" sqref="A5"/>
    </sheetView>
  </sheetViews>
  <sheetFormatPr defaultRowHeight="14.4" x14ac:dyDescent="0.3"/>
  <cols>
    <col min="1" max="1" width="12.5546875" bestFit="1" customWidth="1"/>
    <col min="2" max="2" width="29.21875" bestFit="1" customWidth="1"/>
    <col min="3" max="3" width="9.88671875" bestFit="1" customWidth="1"/>
    <col min="11" max="11" width="11" bestFit="1" customWidth="1"/>
    <col min="12" max="12" width="6.33203125" bestFit="1" customWidth="1"/>
  </cols>
  <sheetData>
    <row r="1" spans="1:12" x14ac:dyDescent="0.3">
      <c r="K1" s="15" t="s">
        <v>1</v>
      </c>
      <c r="L1" t="s">
        <v>259</v>
      </c>
    </row>
    <row r="3" spans="1:12" x14ac:dyDescent="0.3">
      <c r="A3" s="15" t="s">
        <v>20</v>
      </c>
      <c r="B3" s="15" t="s">
        <v>1</v>
      </c>
    </row>
    <row r="4" spans="1:12" x14ac:dyDescent="0.3">
      <c r="A4" t="s">
        <v>186</v>
      </c>
      <c r="B4" t="s">
        <v>65</v>
      </c>
    </row>
    <row r="5" spans="1:12" x14ac:dyDescent="0.3">
      <c r="B5" t="s">
        <v>66</v>
      </c>
    </row>
    <row r="6" spans="1:12" x14ac:dyDescent="0.3">
      <c r="B6" t="s">
        <v>67</v>
      </c>
    </row>
    <row r="7" spans="1:12" x14ac:dyDescent="0.3">
      <c r="B7" t="s">
        <v>68</v>
      </c>
    </row>
    <row r="8" spans="1:12" x14ac:dyDescent="0.3">
      <c r="B8" t="s">
        <v>69</v>
      </c>
    </row>
    <row r="9" spans="1:12" x14ac:dyDescent="0.3">
      <c r="B9" t="s">
        <v>70</v>
      </c>
    </row>
    <row r="10" spans="1:12" x14ac:dyDescent="0.3">
      <c r="B10" t="s">
        <v>71</v>
      </c>
    </row>
    <row r="11" spans="1:12" x14ac:dyDescent="0.3">
      <c r="B11" t="s">
        <v>72</v>
      </c>
    </row>
    <row r="12" spans="1:12" x14ac:dyDescent="0.3">
      <c r="B12" t="s">
        <v>73</v>
      </c>
    </row>
    <row r="13" spans="1:12" x14ac:dyDescent="0.3">
      <c r="B13" t="s">
        <v>74</v>
      </c>
    </row>
    <row r="14" spans="1:12" x14ac:dyDescent="0.3">
      <c r="B14" t="s">
        <v>75</v>
      </c>
    </row>
    <row r="15" spans="1:12" x14ac:dyDescent="0.3">
      <c r="B15" t="s">
        <v>76</v>
      </c>
    </row>
    <row r="16" spans="1:12" x14ac:dyDescent="0.3">
      <c r="B16" t="s">
        <v>77</v>
      </c>
    </row>
    <row r="17" spans="1:2" x14ac:dyDescent="0.3">
      <c r="B17" t="s">
        <v>78</v>
      </c>
    </row>
    <row r="18" spans="1:2" x14ac:dyDescent="0.3">
      <c r="B18" t="s">
        <v>79</v>
      </c>
    </row>
    <row r="19" spans="1:2" x14ac:dyDescent="0.3">
      <c r="B19" t="s">
        <v>80</v>
      </c>
    </row>
    <row r="20" spans="1:2" x14ac:dyDescent="0.3">
      <c r="B20" t="s">
        <v>81</v>
      </c>
    </row>
    <row r="21" spans="1:2" x14ac:dyDescent="0.3">
      <c r="B21" t="s">
        <v>82</v>
      </c>
    </row>
    <row r="22" spans="1:2" x14ac:dyDescent="0.3">
      <c r="B22" t="s">
        <v>83</v>
      </c>
    </row>
    <row r="23" spans="1:2" x14ac:dyDescent="0.3">
      <c r="B23" t="s">
        <v>84</v>
      </c>
    </row>
    <row r="24" spans="1:2" x14ac:dyDescent="0.3">
      <c r="B24" t="s">
        <v>85</v>
      </c>
    </row>
    <row r="25" spans="1:2" x14ac:dyDescent="0.3">
      <c r="B25" t="s">
        <v>86</v>
      </c>
    </row>
    <row r="26" spans="1:2" x14ac:dyDescent="0.3">
      <c r="B26" t="s">
        <v>87</v>
      </c>
    </row>
    <row r="27" spans="1:2" x14ac:dyDescent="0.3">
      <c r="B27" t="s">
        <v>88</v>
      </c>
    </row>
    <row r="28" spans="1:2" x14ac:dyDescent="0.3">
      <c r="B28" t="s">
        <v>89</v>
      </c>
    </row>
    <row r="29" spans="1:2" x14ac:dyDescent="0.3">
      <c r="B29" t="s">
        <v>90</v>
      </c>
    </row>
    <row r="30" spans="1:2" x14ac:dyDescent="0.3">
      <c r="B30" t="s">
        <v>91</v>
      </c>
    </row>
    <row r="31" spans="1:2" x14ac:dyDescent="0.3">
      <c r="B31" t="s">
        <v>92</v>
      </c>
    </row>
    <row r="32" spans="1:2" x14ac:dyDescent="0.3">
      <c r="A32" t="s">
        <v>187</v>
      </c>
      <c r="B32" t="s">
        <v>93</v>
      </c>
    </row>
    <row r="33" spans="1:2" x14ac:dyDescent="0.3">
      <c r="B33" t="s">
        <v>94</v>
      </c>
    </row>
    <row r="34" spans="1:2" x14ac:dyDescent="0.3">
      <c r="B34" t="s">
        <v>95</v>
      </c>
    </row>
    <row r="35" spans="1:2" x14ac:dyDescent="0.3">
      <c r="B35" t="s">
        <v>96</v>
      </c>
    </row>
    <row r="36" spans="1:2" x14ac:dyDescent="0.3">
      <c r="B36" t="s">
        <v>97</v>
      </c>
    </row>
    <row r="37" spans="1:2" x14ac:dyDescent="0.3">
      <c r="B37" t="s">
        <v>98</v>
      </c>
    </row>
    <row r="38" spans="1:2" x14ac:dyDescent="0.3">
      <c r="B38" t="s">
        <v>99</v>
      </c>
    </row>
    <row r="39" spans="1:2" x14ac:dyDescent="0.3">
      <c r="B39" t="s">
        <v>100</v>
      </c>
    </row>
    <row r="40" spans="1:2" x14ac:dyDescent="0.3">
      <c r="B40" t="s">
        <v>101</v>
      </c>
    </row>
    <row r="41" spans="1:2" x14ac:dyDescent="0.3">
      <c r="B41" t="s">
        <v>102</v>
      </c>
    </row>
    <row r="42" spans="1:2" x14ac:dyDescent="0.3">
      <c r="B42" t="s">
        <v>103</v>
      </c>
    </row>
    <row r="43" spans="1:2" x14ac:dyDescent="0.3">
      <c r="A43" t="s">
        <v>188</v>
      </c>
      <c r="B43" t="s">
        <v>104</v>
      </c>
    </row>
    <row r="44" spans="1:2" x14ac:dyDescent="0.3">
      <c r="B44" t="s">
        <v>105</v>
      </c>
    </row>
    <row r="45" spans="1:2" x14ac:dyDescent="0.3">
      <c r="B45" t="s">
        <v>106</v>
      </c>
    </row>
    <row r="46" spans="1:2" x14ac:dyDescent="0.3">
      <c r="B46" t="s">
        <v>107</v>
      </c>
    </row>
    <row r="47" spans="1:2" x14ac:dyDescent="0.3">
      <c r="B47" t="s">
        <v>108</v>
      </c>
    </row>
    <row r="48" spans="1:2" x14ac:dyDescent="0.3">
      <c r="B48" t="s">
        <v>110</v>
      </c>
    </row>
    <row r="49" spans="1:2" x14ac:dyDescent="0.3">
      <c r="B49" t="s">
        <v>111</v>
      </c>
    </row>
    <row r="50" spans="1:2" x14ac:dyDescent="0.3">
      <c r="B50" t="s">
        <v>112</v>
      </c>
    </row>
    <row r="51" spans="1:2" x14ac:dyDescent="0.3">
      <c r="B51" t="s">
        <v>113</v>
      </c>
    </row>
    <row r="52" spans="1:2" x14ac:dyDescent="0.3">
      <c r="A52" t="s">
        <v>193</v>
      </c>
      <c r="B52" t="s">
        <v>109</v>
      </c>
    </row>
    <row r="53" spans="1:2" x14ac:dyDescent="0.3">
      <c r="B53" t="s">
        <v>163</v>
      </c>
    </row>
    <row r="54" spans="1:2" x14ac:dyDescent="0.3">
      <c r="B54" t="s">
        <v>164</v>
      </c>
    </row>
    <row r="55" spans="1:2" x14ac:dyDescent="0.3">
      <c r="B55" t="s">
        <v>165</v>
      </c>
    </row>
    <row r="56" spans="1:2" x14ac:dyDescent="0.3">
      <c r="B56" t="s">
        <v>166</v>
      </c>
    </row>
    <row r="57" spans="1:2" x14ac:dyDescent="0.3">
      <c r="B57" t="s">
        <v>167</v>
      </c>
    </row>
    <row r="58" spans="1:2" x14ac:dyDescent="0.3">
      <c r="B58" t="s">
        <v>168</v>
      </c>
    </row>
    <row r="59" spans="1:2" x14ac:dyDescent="0.3">
      <c r="B59" t="s">
        <v>169</v>
      </c>
    </row>
    <row r="60" spans="1:2" x14ac:dyDescent="0.3">
      <c r="B60" t="s">
        <v>170</v>
      </c>
    </row>
    <row r="61" spans="1:2" x14ac:dyDescent="0.3">
      <c r="B61" t="s">
        <v>171</v>
      </c>
    </row>
    <row r="62" spans="1:2" x14ac:dyDescent="0.3">
      <c r="B62" t="s">
        <v>172</v>
      </c>
    </row>
    <row r="63" spans="1:2" x14ac:dyDescent="0.3">
      <c r="B63" t="s">
        <v>173</v>
      </c>
    </row>
    <row r="64" spans="1:2" x14ac:dyDescent="0.3">
      <c r="B64" t="s">
        <v>174</v>
      </c>
    </row>
    <row r="65" spans="1:2" x14ac:dyDescent="0.3">
      <c r="B65" t="s">
        <v>175</v>
      </c>
    </row>
    <row r="66" spans="1:2" x14ac:dyDescent="0.3">
      <c r="B66" t="s">
        <v>176</v>
      </c>
    </row>
    <row r="67" spans="1:2" x14ac:dyDescent="0.3">
      <c r="B67" t="s">
        <v>177</v>
      </c>
    </row>
    <row r="68" spans="1:2" x14ac:dyDescent="0.3">
      <c r="B68" t="s">
        <v>178</v>
      </c>
    </row>
    <row r="69" spans="1:2" x14ac:dyDescent="0.3">
      <c r="B69" t="s">
        <v>179</v>
      </c>
    </row>
    <row r="70" spans="1:2" x14ac:dyDescent="0.3">
      <c r="B70" t="s">
        <v>180</v>
      </c>
    </row>
    <row r="71" spans="1:2" x14ac:dyDescent="0.3">
      <c r="B71" t="s">
        <v>181</v>
      </c>
    </row>
    <row r="72" spans="1:2" x14ac:dyDescent="0.3">
      <c r="B72" t="s">
        <v>182</v>
      </c>
    </row>
    <row r="73" spans="1:2" x14ac:dyDescent="0.3">
      <c r="B73" t="s">
        <v>183</v>
      </c>
    </row>
    <row r="74" spans="1:2" x14ac:dyDescent="0.3">
      <c r="B74" t="s">
        <v>184</v>
      </c>
    </row>
    <row r="75" spans="1:2" x14ac:dyDescent="0.3">
      <c r="B75" t="s">
        <v>185</v>
      </c>
    </row>
    <row r="76" spans="1:2" x14ac:dyDescent="0.3">
      <c r="A76" t="s">
        <v>189</v>
      </c>
      <c r="B76" t="s">
        <v>114</v>
      </c>
    </row>
    <row r="77" spans="1:2" x14ac:dyDescent="0.3">
      <c r="B77" t="s">
        <v>115</v>
      </c>
    </row>
    <row r="78" spans="1:2" x14ac:dyDescent="0.3">
      <c r="B78" t="s">
        <v>116</v>
      </c>
    </row>
    <row r="79" spans="1:2" x14ac:dyDescent="0.3">
      <c r="B79" t="s">
        <v>117</v>
      </c>
    </row>
    <row r="80" spans="1:2" x14ac:dyDescent="0.3">
      <c r="B80" t="s">
        <v>118</v>
      </c>
    </row>
    <row r="81" spans="1:2" x14ac:dyDescent="0.3">
      <c r="B81" t="s">
        <v>119</v>
      </c>
    </row>
    <row r="82" spans="1:2" x14ac:dyDescent="0.3">
      <c r="B82" t="s">
        <v>120</v>
      </c>
    </row>
    <row r="83" spans="1:2" x14ac:dyDescent="0.3">
      <c r="B83" t="s">
        <v>121</v>
      </c>
    </row>
    <row r="84" spans="1:2" x14ac:dyDescent="0.3">
      <c r="B84" t="s">
        <v>122</v>
      </c>
    </row>
    <row r="85" spans="1:2" x14ac:dyDescent="0.3">
      <c r="A85" t="s">
        <v>190</v>
      </c>
      <c r="B85" t="s">
        <v>123</v>
      </c>
    </row>
    <row r="86" spans="1:2" x14ac:dyDescent="0.3">
      <c r="B86" t="s">
        <v>124</v>
      </c>
    </row>
    <row r="87" spans="1:2" x14ac:dyDescent="0.3">
      <c r="B87" t="s">
        <v>125</v>
      </c>
    </row>
    <row r="88" spans="1:2" x14ac:dyDescent="0.3">
      <c r="B88" t="s">
        <v>126</v>
      </c>
    </row>
    <row r="89" spans="1:2" x14ac:dyDescent="0.3">
      <c r="B89" t="s">
        <v>127</v>
      </c>
    </row>
    <row r="90" spans="1:2" x14ac:dyDescent="0.3">
      <c r="B90" t="s">
        <v>128</v>
      </c>
    </row>
    <row r="91" spans="1:2" x14ac:dyDescent="0.3">
      <c r="B91" t="s">
        <v>129</v>
      </c>
    </row>
    <row r="92" spans="1:2" x14ac:dyDescent="0.3">
      <c r="B92" t="s">
        <v>130</v>
      </c>
    </row>
    <row r="93" spans="1:2" x14ac:dyDescent="0.3">
      <c r="B93" t="s">
        <v>131</v>
      </c>
    </row>
    <row r="94" spans="1:2" x14ac:dyDescent="0.3">
      <c r="B94" t="s">
        <v>132</v>
      </c>
    </row>
    <row r="95" spans="1:2" x14ac:dyDescent="0.3">
      <c r="B95" t="s">
        <v>133</v>
      </c>
    </row>
    <row r="96" spans="1:2" x14ac:dyDescent="0.3">
      <c r="A96" t="s">
        <v>191</v>
      </c>
      <c r="B96" t="s">
        <v>134</v>
      </c>
    </row>
    <row r="97" spans="2:2" x14ac:dyDescent="0.3">
      <c r="B97" t="s">
        <v>135</v>
      </c>
    </row>
    <row r="98" spans="2:2" x14ac:dyDescent="0.3">
      <c r="B98" t="s">
        <v>136</v>
      </c>
    </row>
    <row r="99" spans="2:2" x14ac:dyDescent="0.3">
      <c r="B99" t="s">
        <v>137</v>
      </c>
    </row>
    <row r="100" spans="2:2" x14ac:dyDescent="0.3">
      <c r="B100" t="s">
        <v>138</v>
      </c>
    </row>
    <row r="101" spans="2:2" x14ac:dyDescent="0.3">
      <c r="B101" t="s">
        <v>139</v>
      </c>
    </row>
    <row r="102" spans="2:2" x14ac:dyDescent="0.3">
      <c r="B102" t="s">
        <v>140</v>
      </c>
    </row>
    <row r="103" spans="2:2" x14ac:dyDescent="0.3">
      <c r="B103" t="s">
        <v>141</v>
      </c>
    </row>
    <row r="104" spans="2:2" x14ac:dyDescent="0.3">
      <c r="B104" t="s">
        <v>142</v>
      </c>
    </row>
    <row r="105" spans="2:2" x14ac:dyDescent="0.3">
      <c r="B105" t="s">
        <v>143</v>
      </c>
    </row>
    <row r="106" spans="2:2" x14ac:dyDescent="0.3">
      <c r="B106" t="s">
        <v>144</v>
      </c>
    </row>
    <row r="107" spans="2:2" x14ac:dyDescent="0.3">
      <c r="B107" t="s">
        <v>145</v>
      </c>
    </row>
    <row r="108" spans="2:2" x14ac:dyDescent="0.3">
      <c r="B108" t="s">
        <v>146</v>
      </c>
    </row>
    <row r="109" spans="2:2" x14ac:dyDescent="0.3">
      <c r="B109" t="s">
        <v>147</v>
      </c>
    </row>
    <row r="110" spans="2:2" x14ac:dyDescent="0.3">
      <c r="B110" t="s">
        <v>148</v>
      </c>
    </row>
    <row r="111" spans="2:2" x14ac:dyDescent="0.3">
      <c r="B111" t="s">
        <v>149</v>
      </c>
    </row>
    <row r="112" spans="2:2" x14ac:dyDescent="0.3">
      <c r="B112" t="s">
        <v>150</v>
      </c>
    </row>
    <row r="113" spans="1:2" x14ac:dyDescent="0.3">
      <c r="B113" t="s">
        <v>151</v>
      </c>
    </row>
    <row r="114" spans="1:2" x14ac:dyDescent="0.3">
      <c r="B114" t="s">
        <v>152</v>
      </c>
    </row>
    <row r="115" spans="1:2" x14ac:dyDescent="0.3">
      <c r="B115" t="s">
        <v>153</v>
      </c>
    </row>
    <row r="116" spans="1:2" x14ac:dyDescent="0.3">
      <c r="A116" t="s">
        <v>192</v>
      </c>
      <c r="B116" t="s">
        <v>154</v>
      </c>
    </row>
    <row r="117" spans="1:2" x14ac:dyDescent="0.3">
      <c r="B117" t="s">
        <v>155</v>
      </c>
    </row>
    <row r="118" spans="1:2" x14ac:dyDescent="0.3">
      <c r="B118" t="s">
        <v>156</v>
      </c>
    </row>
    <row r="119" spans="1:2" x14ac:dyDescent="0.3">
      <c r="B119" t="s">
        <v>157</v>
      </c>
    </row>
    <row r="120" spans="1:2" x14ac:dyDescent="0.3">
      <c r="B120" t="s">
        <v>158</v>
      </c>
    </row>
    <row r="121" spans="1:2" x14ac:dyDescent="0.3">
      <c r="B121" t="s">
        <v>159</v>
      </c>
    </row>
    <row r="122" spans="1:2" x14ac:dyDescent="0.3">
      <c r="B122" t="s">
        <v>160</v>
      </c>
    </row>
    <row r="123" spans="1:2" x14ac:dyDescent="0.3">
      <c r="B123" t="s">
        <v>161</v>
      </c>
    </row>
    <row r="124" spans="1:2" x14ac:dyDescent="0.3">
      <c r="B124" t="s">
        <v>162</v>
      </c>
    </row>
    <row r="125" spans="1:2" x14ac:dyDescent="0.3">
      <c r="A125" t="s">
        <v>21</v>
      </c>
    </row>
  </sheetData>
  <sheetProtection pivotTables="0"/>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3:I125"/>
  <sheetViews>
    <sheetView workbookViewId="0">
      <selection activeCell="I7" sqref="I7"/>
    </sheetView>
  </sheetViews>
  <sheetFormatPr defaultRowHeight="14.4" x14ac:dyDescent="0.3"/>
  <cols>
    <col min="1" max="1" width="12.5546875" bestFit="1" customWidth="1"/>
    <col min="2" max="2" width="32.6640625" bestFit="1" customWidth="1"/>
    <col min="3" max="3" width="14.88671875" bestFit="1" customWidth="1"/>
  </cols>
  <sheetData>
    <row r="3" spans="1:9" x14ac:dyDescent="0.3">
      <c r="A3" s="15" t="s">
        <v>20</v>
      </c>
      <c r="B3" s="15" t="s">
        <v>1</v>
      </c>
      <c r="C3" s="15" t="s">
        <v>39</v>
      </c>
    </row>
    <row r="4" spans="1:9" x14ac:dyDescent="0.3">
      <c r="A4" s="16" t="s">
        <v>186</v>
      </c>
      <c r="B4" s="16" t="s">
        <v>65</v>
      </c>
      <c r="C4" s="16" t="s">
        <v>45</v>
      </c>
      <c r="E4" s="16" t="s">
        <v>23</v>
      </c>
      <c r="F4" s="28">
        <f>IF(G4&lt;&gt;0,G4/$G$8,#N/A)</f>
        <v>8.2644628099173556E-3</v>
      </c>
      <c r="G4" s="29">
        <f>COUNTIF($C$4:$C$124,E4)</f>
        <v>1</v>
      </c>
      <c r="I4" s="28">
        <f>IFERROR(F4,"")</f>
        <v>8.2644628099173556E-3</v>
      </c>
    </row>
    <row r="5" spans="1:9" x14ac:dyDescent="0.3">
      <c r="B5" s="16" t="s">
        <v>66</v>
      </c>
      <c r="C5" s="16" t="s">
        <v>45</v>
      </c>
      <c r="E5" t="s">
        <v>40</v>
      </c>
      <c r="F5" s="28">
        <f t="shared" ref="F5:F7" si="0">IF(G5&lt;&gt;0,G5/$G$8,#N/A)</f>
        <v>1.6528925619834711E-2</v>
      </c>
      <c r="G5" s="29">
        <f t="shared" ref="G5:G7" si="1">COUNTIF($C$4:$C$124,E5)</f>
        <v>2</v>
      </c>
      <c r="I5" s="28">
        <f>IFERROR(F5,"")</f>
        <v>1.6528925619834711E-2</v>
      </c>
    </row>
    <row r="6" spans="1:9" x14ac:dyDescent="0.3">
      <c r="B6" s="16" t="s">
        <v>67</v>
      </c>
      <c r="C6" s="16" t="s">
        <v>45</v>
      </c>
      <c r="E6" t="s">
        <v>22</v>
      </c>
      <c r="F6" s="28" t="e">
        <f t="shared" si="0"/>
        <v>#N/A</v>
      </c>
      <c r="G6" s="29">
        <f t="shared" si="1"/>
        <v>0</v>
      </c>
      <c r="I6" s="28" t="str">
        <f>IFERROR(F6,"")</f>
        <v/>
      </c>
    </row>
    <row r="7" spans="1:9" x14ac:dyDescent="0.3">
      <c r="B7" s="16" t="s">
        <v>68</v>
      </c>
      <c r="C7" s="16" t="s">
        <v>45</v>
      </c>
      <c r="E7" t="s">
        <v>41</v>
      </c>
      <c r="F7" s="28">
        <f t="shared" si="0"/>
        <v>0.97520661157024791</v>
      </c>
      <c r="G7" s="29">
        <f t="shared" si="1"/>
        <v>118</v>
      </c>
      <c r="I7" s="28">
        <f>IFERROR(F7,"")</f>
        <v>0.97520661157024791</v>
      </c>
    </row>
    <row r="8" spans="1:9" x14ac:dyDescent="0.3">
      <c r="B8" s="16" t="s">
        <v>69</v>
      </c>
      <c r="C8" s="16" t="s">
        <v>45</v>
      </c>
      <c r="G8" s="29">
        <f>SUM(G4:G7)</f>
        <v>121</v>
      </c>
    </row>
    <row r="9" spans="1:9" x14ac:dyDescent="0.3">
      <c r="B9" s="16" t="s">
        <v>70</v>
      </c>
      <c r="C9" s="16" t="s">
        <v>45</v>
      </c>
    </row>
    <row r="10" spans="1:9" x14ac:dyDescent="0.3">
      <c r="B10" s="16" t="s">
        <v>71</v>
      </c>
      <c r="C10" s="16" t="s">
        <v>45</v>
      </c>
    </row>
    <row r="11" spans="1:9" x14ac:dyDescent="0.3">
      <c r="B11" s="16" t="s">
        <v>72</v>
      </c>
      <c r="C11" s="16" t="s">
        <v>45</v>
      </c>
    </row>
    <row r="12" spans="1:9" x14ac:dyDescent="0.3">
      <c r="B12" s="16" t="s">
        <v>73</v>
      </c>
      <c r="C12" s="16" t="s">
        <v>45</v>
      </c>
    </row>
    <row r="13" spans="1:9" x14ac:dyDescent="0.3">
      <c r="B13" s="16" t="s">
        <v>74</v>
      </c>
      <c r="C13" s="16" t="s">
        <v>45</v>
      </c>
    </row>
    <row r="14" spans="1:9" x14ac:dyDescent="0.3">
      <c r="B14" s="16" t="s">
        <v>75</v>
      </c>
      <c r="C14" s="16" t="s">
        <v>45</v>
      </c>
    </row>
    <row r="15" spans="1:9" x14ac:dyDescent="0.3">
      <c r="B15" s="16" t="s">
        <v>76</v>
      </c>
      <c r="C15" s="16" t="s">
        <v>45</v>
      </c>
    </row>
    <row r="16" spans="1:9" x14ac:dyDescent="0.3">
      <c r="B16" s="16" t="s">
        <v>77</v>
      </c>
      <c r="C16" s="16" t="s">
        <v>45</v>
      </c>
    </row>
    <row r="17" spans="1:3" x14ac:dyDescent="0.3">
      <c r="B17" s="16" t="s">
        <v>78</v>
      </c>
      <c r="C17" s="16" t="s">
        <v>45</v>
      </c>
    </row>
    <row r="18" spans="1:3" x14ac:dyDescent="0.3">
      <c r="B18" s="16" t="s">
        <v>79</v>
      </c>
      <c r="C18" s="16" t="s">
        <v>45</v>
      </c>
    </row>
    <row r="19" spans="1:3" x14ac:dyDescent="0.3">
      <c r="B19" s="16" t="s">
        <v>80</v>
      </c>
      <c r="C19" s="16" t="s">
        <v>45</v>
      </c>
    </row>
    <row r="20" spans="1:3" x14ac:dyDescent="0.3">
      <c r="B20" s="16" t="s">
        <v>81</v>
      </c>
      <c r="C20" s="16" t="s">
        <v>45</v>
      </c>
    </row>
    <row r="21" spans="1:3" x14ac:dyDescent="0.3">
      <c r="B21" s="16" t="s">
        <v>82</v>
      </c>
      <c r="C21" s="16" t="s">
        <v>45</v>
      </c>
    </row>
    <row r="22" spans="1:3" x14ac:dyDescent="0.3">
      <c r="B22" s="16" t="s">
        <v>83</v>
      </c>
      <c r="C22" s="16" t="s">
        <v>45</v>
      </c>
    </row>
    <row r="23" spans="1:3" x14ac:dyDescent="0.3">
      <c r="B23" s="16" t="s">
        <v>84</v>
      </c>
      <c r="C23" s="16" t="s">
        <v>45</v>
      </c>
    </row>
    <row r="24" spans="1:3" x14ac:dyDescent="0.3">
      <c r="B24" s="16" t="s">
        <v>85</v>
      </c>
      <c r="C24" s="16" t="s">
        <v>45</v>
      </c>
    </row>
    <row r="25" spans="1:3" x14ac:dyDescent="0.3">
      <c r="B25" s="16" t="s">
        <v>86</v>
      </c>
      <c r="C25" s="16" t="s">
        <v>45</v>
      </c>
    </row>
    <row r="26" spans="1:3" x14ac:dyDescent="0.3">
      <c r="B26" s="16" t="s">
        <v>87</v>
      </c>
      <c r="C26" s="16" t="s">
        <v>45</v>
      </c>
    </row>
    <row r="27" spans="1:3" x14ac:dyDescent="0.3">
      <c r="B27" s="16" t="s">
        <v>88</v>
      </c>
      <c r="C27" s="16" t="s">
        <v>45</v>
      </c>
    </row>
    <row r="28" spans="1:3" x14ac:dyDescent="0.3">
      <c r="B28" s="16" t="s">
        <v>89</v>
      </c>
      <c r="C28" s="16" t="s">
        <v>45</v>
      </c>
    </row>
    <row r="29" spans="1:3" x14ac:dyDescent="0.3">
      <c r="B29" s="16" t="s">
        <v>90</v>
      </c>
      <c r="C29" s="16" t="s">
        <v>45</v>
      </c>
    </row>
    <row r="30" spans="1:3" x14ac:dyDescent="0.3">
      <c r="B30" s="16" t="s">
        <v>91</v>
      </c>
      <c r="C30" s="16" t="s">
        <v>45</v>
      </c>
    </row>
    <row r="31" spans="1:3" x14ac:dyDescent="0.3">
      <c r="B31" s="16" t="s">
        <v>92</v>
      </c>
      <c r="C31" s="16" t="s">
        <v>45</v>
      </c>
    </row>
    <row r="32" spans="1:3" x14ac:dyDescent="0.3">
      <c r="A32" s="16" t="s">
        <v>187</v>
      </c>
      <c r="B32" s="16" t="s">
        <v>93</v>
      </c>
      <c r="C32" s="16" t="s">
        <v>45</v>
      </c>
    </row>
    <row r="33" spans="1:3" x14ac:dyDescent="0.3">
      <c r="B33" s="16" t="s">
        <v>94</v>
      </c>
      <c r="C33" s="16" t="s">
        <v>45</v>
      </c>
    </row>
    <row r="34" spans="1:3" x14ac:dyDescent="0.3">
      <c r="B34" s="16" t="s">
        <v>95</v>
      </c>
      <c r="C34" s="16" t="s">
        <v>45</v>
      </c>
    </row>
    <row r="35" spans="1:3" x14ac:dyDescent="0.3">
      <c r="B35" s="16" t="s">
        <v>96</v>
      </c>
      <c r="C35" s="16" t="s">
        <v>45</v>
      </c>
    </row>
    <row r="36" spans="1:3" x14ac:dyDescent="0.3">
      <c r="B36" s="16" t="s">
        <v>97</v>
      </c>
      <c r="C36" s="16" t="s">
        <v>40</v>
      </c>
    </row>
    <row r="37" spans="1:3" x14ac:dyDescent="0.3">
      <c r="B37" s="16" t="s">
        <v>98</v>
      </c>
      <c r="C37" s="16" t="s">
        <v>45</v>
      </c>
    </row>
    <row r="38" spans="1:3" x14ac:dyDescent="0.3">
      <c r="B38" s="16" t="s">
        <v>99</v>
      </c>
      <c r="C38" s="16" t="s">
        <v>45</v>
      </c>
    </row>
    <row r="39" spans="1:3" x14ac:dyDescent="0.3">
      <c r="B39" s="16" t="s">
        <v>100</v>
      </c>
      <c r="C39" s="16" t="s">
        <v>45</v>
      </c>
    </row>
    <row r="40" spans="1:3" x14ac:dyDescent="0.3">
      <c r="B40" s="16" t="s">
        <v>101</v>
      </c>
      <c r="C40" s="16" t="s">
        <v>45</v>
      </c>
    </row>
    <row r="41" spans="1:3" x14ac:dyDescent="0.3">
      <c r="B41" s="16" t="s">
        <v>102</v>
      </c>
      <c r="C41" s="16" t="s">
        <v>40</v>
      </c>
    </row>
    <row r="42" spans="1:3" x14ac:dyDescent="0.3">
      <c r="B42" s="16" t="s">
        <v>103</v>
      </c>
      <c r="C42" s="16" t="s">
        <v>45</v>
      </c>
    </row>
    <row r="43" spans="1:3" x14ac:dyDescent="0.3">
      <c r="A43" s="16" t="s">
        <v>188</v>
      </c>
      <c r="B43" s="16" t="s">
        <v>104</v>
      </c>
      <c r="C43" s="16" t="s">
        <v>45</v>
      </c>
    </row>
    <row r="44" spans="1:3" x14ac:dyDescent="0.3">
      <c r="B44" s="16" t="s">
        <v>105</v>
      </c>
      <c r="C44" s="16" t="s">
        <v>45</v>
      </c>
    </row>
    <row r="45" spans="1:3" x14ac:dyDescent="0.3">
      <c r="B45" s="16" t="s">
        <v>106</v>
      </c>
      <c r="C45" s="16" t="s">
        <v>45</v>
      </c>
    </row>
    <row r="46" spans="1:3" x14ac:dyDescent="0.3">
      <c r="B46" s="16" t="s">
        <v>107</v>
      </c>
      <c r="C46" s="16" t="s">
        <v>45</v>
      </c>
    </row>
    <row r="47" spans="1:3" x14ac:dyDescent="0.3">
      <c r="B47" s="16" t="s">
        <v>108</v>
      </c>
      <c r="C47" s="16" t="s">
        <v>45</v>
      </c>
    </row>
    <row r="48" spans="1:3" x14ac:dyDescent="0.3">
      <c r="B48" s="16" t="s">
        <v>110</v>
      </c>
      <c r="C48" s="16" t="s">
        <v>45</v>
      </c>
    </row>
    <row r="49" spans="1:3" x14ac:dyDescent="0.3">
      <c r="B49" s="16" t="s">
        <v>111</v>
      </c>
      <c r="C49" s="16" t="s">
        <v>45</v>
      </c>
    </row>
    <row r="50" spans="1:3" x14ac:dyDescent="0.3">
      <c r="B50" s="16" t="s">
        <v>112</v>
      </c>
      <c r="C50" s="16" t="s">
        <v>45</v>
      </c>
    </row>
    <row r="51" spans="1:3" x14ac:dyDescent="0.3">
      <c r="B51" s="16" t="s">
        <v>113</v>
      </c>
      <c r="C51" s="16" t="s">
        <v>45</v>
      </c>
    </row>
    <row r="52" spans="1:3" x14ac:dyDescent="0.3">
      <c r="A52" s="16" t="s">
        <v>193</v>
      </c>
      <c r="B52" s="16" t="s">
        <v>109</v>
      </c>
      <c r="C52" s="16" t="s">
        <v>45</v>
      </c>
    </row>
    <row r="53" spans="1:3" x14ac:dyDescent="0.3">
      <c r="B53" s="16" t="s">
        <v>163</v>
      </c>
      <c r="C53" s="16" t="s">
        <v>45</v>
      </c>
    </row>
    <row r="54" spans="1:3" x14ac:dyDescent="0.3">
      <c r="B54" s="16" t="s">
        <v>164</v>
      </c>
      <c r="C54" s="16" t="s">
        <v>45</v>
      </c>
    </row>
    <row r="55" spans="1:3" x14ac:dyDescent="0.3">
      <c r="B55" s="16" t="s">
        <v>165</v>
      </c>
      <c r="C55" s="16" t="s">
        <v>45</v>
      </c>
    </row>
    <row r="56" spans="1:3" x14ac:dyDescent="0.3">
      <c r="B56" s="16" t="s">
        <v>166</v>
      </c>
      <c r="C56" s="16" t="s">
        <v>45</v>
      </c>
    </row>
    <row r="57" spans="1:3" x14ac:dyDescent="0.3">
      <c r="B57" s="16" t="s">
        <v>167</v>
      </c>
      <c r="C57" s="16" t="s">
        <v>45</v>
      </c>
    </row>
    <row r="58" spans="1:3" x14ac:dyDescent="0.3">
      <c r="B58" s="16" t="s">
        <v>168</v>
      </c>
      <c r="C58" s="16" t="s">
        <v>45</v>
      </c>
    </row>
    <row r="59" spans="1:3" x14ac:dyDescent="0.3">
      <c r="B59" s="16" t="s">
        <v>169</v>
      </c>
      <c r="C59" s="16" t="s">
        <v>45</v>
      </c>
    </row>
    <row r="60" spans="1:3" x14ac:dyDescent="0.3">
      <c r="B60" s="16" t="s">
        <v>170</v>
      </c>
      <c r="C60" s="16" t="s">
        <v>45</v>
      </c>
    </row>
    <row r="61" spans="1:3" x14ac:dyDescent="0.3">
      <c r="B61" s="16" t="s">
        <v>171</v>
      </c>
      <c r="C61" s="16" t="s">
        <v>45</v>
      </c>
    </row>
    <row r="62" spans="1:3" x14ac:dyDescent="0.3">
      <c r="B62" s="16" t="s">
        <v>172</v>
      </c>
      <c r="C62" s="16" t="s">
        <v>45</v>
      </c>
    </row>
    <row r="63" spans="1:3" x14ac:dyDescent="0.3">
      <c r="B63" s="16" t="s">
        <v>173</v>
      </c>
      <c r="C63" s="16" t="s">
        <v>45</v>
      </c>
    </row>
    <row r="64" spans="1:3" x14ac:dyDescent="0.3">
      <c r="B64" s="16" t="s">
        <v>174</v>
      </c>
      <c r="C64" s="16" t="s">
        <v>45</v>
      </c>
    </row>
    <row r="65" spans="1:3" x14ac:dyDescent="0.3">
      <c r="B65" s="16" t="s">
        <v>175</v>
      </c>
      <c r="C65" s="16" t="s">
        <v>45</v>
      </c>
    </row>
    <row r="66" spans="1:3" x14ac:dyDescent="0.3">
      <c r="B66" s="16" t="s">
        <v>176</v>
      </c>
      <c r="C66" s="16" t="s">
        <v>45</v>
      </c>
    </row>
    <row r="67" spans="1:3" x14ac:dyDescent="0.3">
      <c r="B67" s="16" t="s">
        <v>177</v>
      </c>
      <c r="C67" s="16" t="s">
        <v>45</v>
      </c>
    </row>
    <row r="68" spans="1:3" x14ac:dyDescent="0.3">
      <c r="B68" s="16" t="s">
        <v>178</v>
      </c>
      <c r="C68" s="16" t="s">
        <v>45</v>
      </c>
    </row>
    <row r="69" spans="1:3" x14ac:dyDescent="0.3">
      <c r="B69" s="16" t="s">
        <v>179</v>
      </c>
      <c r="C69" s="16" t="s">
        <v>45</v>
      </c>
    </row>
    <row r="70" spans="1:3" x14ac:dyDescent="0.3">
      <c r="B70" s="16" t="s">
        <v>180</v>
      </c>
      <c r="C70" s="16" t="s">
        <v>45</v>
      </c>
    </row>
    <row r="71" spans="1:3" x14ac:dyDescent="0.3">
      <c r="B71" s="16" t="s">
        <v>181</v>
      </c>
      <c r="C71" s="16" t="s">
        <v>45</v>
      </c>
    </row>
    <row r="72" spans="1:3" x14ac:dyDescent="0.3">
      <c r="B72" s="16" t="s">
        <v>182</v>
      </c>
      <c r="C72" s="16" t="s">
        <v>45</v>
      </c>
    </row>
    <row r="73" spans="1:3" x14ac:dyDescent="0.3">
      <c r="B73" s="16" t="s">
        <v>183</v>
      </c>
      <c r="C73" s="16" t="s">
        <v>45</v>
      </c>
    </row>
    <row r="74" spans="1:3" x14ac:dyDescent="0.3">
      <c r="B74" s="16" t="s">
        <v>184</v>
      </c>
      <c r="C74" s="16" t="s">
        <v>45</v>
      </c>
    </row>
    <row r="75" spans="1:3" x14ac:dyDescent="0.3">
      <c r="B75" s="16" t="s">
        <v>185</v>
      </c>
      <c r="C75" s="16" t="s">
        <v>45</v>
      </c>
    </row>
    <row r="76" spans="1:3" x14ac:dyDescent="0.3">
      <c r="A76" s="16" t="s">
        <v>189</v>
      </c>
      <c r="B76" s="16" t="s">
        <v>114</v>
      </c>
      <c r="C76" s="16" t="s">
        <v>45</v>
      </c>
    </row>
    <row r="77" spans="1:3" x14ac:dyDescent="0.3">
      <c r="B77" s="16" t="s">
        <v>115</v>
      </c>
      <c r="C77" s="16" t="s">
        <v>45</v>
      </c>
    </row>
    <row r="78" spans="1:3" x14ac:dyDescent="0.3">
      <c r="B78" s="16" t="s">
        <v>116</v>
      </c>
      <c r="C78" s="16" t="s">
        <v>45</v>
      </c>
    </row>
    <row r="79" spans="1:3" x14ac:dyDescent="0.3">
      <c r="B79" s="16" t="s">
        <v>117</v>
      </c>
      <c r="C79" s="16" t="s">
        <v>45</v>
      </c>
    </row>
    <row r="80" spans="1:3" x14ac:dyDescent="0.3">
      <c r="B80" s="16" t="s">
        <v>118</v>
      </c>
      <c r="C80" s="16" t="s">
        <v>45</v>
      </c>
    </row>
    <row r="81" spans="1:3" x14ac:dyDescent="0.3">
      <c r="B81" s="16" t="s">
        <v>119</v>
      </c>
      <c r="C81" s="16" t="s">
        <v>45</v>
      </c>
    </row>
    <row r="82" spans="1:3" x14ac:dyDescent="0.3">
      <c r="B82" s="16" t="s">
        <v>120</v>
      </c>
      <c r="C82" s="16" t="s">
        <v>45</v>
      </c>
    </row>
    <row r="83" spans="1:3" x14ac:dyDescent="0.3">
      <c r="B83" s="16" t="s">
        <v>121</v>
      </c>
      <c r="C83" s="16" t="s">
        <v>45</v>
      </c>
    </row>
    <row r="84" spans="1:3" x14ac:dyDescent="0.3">
      <c r="B84" s="16" t="s">
        <v>122</v>
      </c>
      <c r="C84" s="16" t="s">
        <v>45</v>
      </c>
    </row>
    <row r="85" spans="1:3" x14ac:dyDescent="0.3">
      <c r="A85" s="16" t="s">
        <v>190</v>
      </c>
      <c r="B85" s="16" t="s">
        <v>123</v>
      </c>
      <c r="C85" s="16" t="s">
        <v>45</v>
      </c>
    </row>
    <row r="86" spans="1:3" x14ac:dyDescent="0.3">
      <c r="B86" s="16" t="s">
        <v>124</v>
      </c>
      <c r="C86" s="16" t="s">
        <v>45</v>
      </c>
    </row>
    <row r="87" spans="1:3" x14ac:dyDescent="0.3">
      <c r="B87" s="16" t="s">
        <v>125</v>
      </c>
      <c r="C87" s="16" t="s">
        <v>45</v>
      </c>
    </row>
    <row r="88" spans="1:3" x14ac:dyDescent="0.3">
      <c r="B88" s="16" t="s">
        <v>126</v>
      </c>
      <c r="C88" s="16" t="s">
        <v>45</v>
      </c>
    </row>
    <row r="89" spans="1:3" x14ac:dyDescent="0.3">
      <c r="B89" s="16" t="s">
        <v>127</v>
      </c>
      <c r="C89" s="16" t="s">
        <v>45</v>
      </c>
    </row>
    <row r="90" spans="1:3" x14ac:dyDescent="0.3">
      <c r="B90" s="16" t="s">
        <v>128</v>
      </c>
      <c r="C90" s="16" t="s">
        <v>45</v>
      </c>
    </row>
    <row r="91" spans="1:3" x14ac:dyDescent="0.3">
      <c r="B91" s="16" t="s">
        <v>129</v>
      </c>
      <c r="C91" s="16" t="s">
        <v>45</v>
      </c>
    </row>
    <row r="92" spans="1:3" x14ac:dyDescent="0.3">
      <c r="B92" s="16" t="s">
        <v>130</v>
      </c>
      <c r="C92" s="16" t="s">
        <v>45</v>
      </c>
    </row>
    <row r="93" spans="1:3" x14ac:dyDescent="0.3">
      <c r="B93" s="16" t="s">
        <v>131</v>
      </c>
      <c r="C93" s="16" t="s">
        <v>45</v>
      </c>
    </row>
    <row r="94" spans="1:3" x14ac:dyDescent="0.3">
      <c r="B94" s="16" t="s">
        <v>132</v>
      </c>
      <c r="C94" s="16" t="s">
        <v>23</v>
      </c>
    </row>
    <row r="95" spans="1:3" x14ac:dyDescent="0.3">
      <c r="B95" s="16" t="s">
        <v>133</v>
      </c>
      <c r="C95" s="16" t="s">
        <v>45</v>
      </c>
    </row>
    <row r="96" spans="1:3" x14ac:dyDescent="0.3">
      <c r="A96" s="16" t="s">
        <v>191</v>
      </c>
      <c r="B96" s="16" t="s">
        <v>134</v>
      </c>
      <c r="C96" s="16" t="s">
        <v>45</v>
      </c>
    </row>
    <row r="97" spans="2:3" x14ac:dyDescent="0.3">
      <c r="B97" s="16" t="s">
        <v>135</v>
      </c>
      <c r="C97" s="16" t="s">
        <v>45</v>
      </c>
    </row>
    <row r="98" spans="2:3" x14ac:dyDescent="0.3">
      <c r="B98" s="16" t="s">
        <v>136</v>
      </c>
      <c r="C98" s="16" t="s">
        <v>45</v>
      </c>
    </row>
    <row r="99" spans="2:3" x14ac:dyDescent="0.3">
      <c r="B99" s="16" t="s">
        <v>137</v>
      </c>
      <c r="C99" s="16" t="s">
        <v>45</v>
      </c>
    </row>
    <row r="100" spans="2:3" x14ac:dyDescent="0.3">
      <c r="B100" s="16" t="s">
        <v>138</v>
      </c>
      <c r="C100" s="16" t="s">
        <v>45</v>
      </c>
    </row>
    <row r="101" spans="2:3" x14ac:dyDescent="0.3">
      <c r="B101" s="16" t="s">
        <v>139</v>
      </c>
      <c r="C101" s="16" t="s">
        <v>45</v>
      </c>
    </row>
    <row r="102" spans="2:3" x14ac:dyDescent="0.3">
      <c r="B102" s="16" t="s">
        <v>140</v>
      </c>
      <c r="C102" s="16" t="s">
        <v>45</v>
      </c>
    </row>
    <row r="103" spans="2:3" x14ac:dyDescent="0.3">
      <c r="B103" s="16" t="s">
        <v>141</v>
      </c>
      <c r="C103" s="16" t="s">
        <v>45</v>
      </c>
    </row>
    <row r="104" spans="2:3" x14ac:dyDescent="0.3">
      <c r="B104" s="16" t="s">
        <v>142</v>
      </c>
      <c r="C104" s="16" t="s">
        <v>45</v>
      </c>
    </row>
    <row r="105" spans="2:3" x14ac:dyDescent="0.3">
      <c r="B105" s="16" t="s">
        <v>143</v>
      </c>
      <c r="C105" s="16" t="s">
        <v>45</v>
      </c>
    </row>
    <row r="106" spans="2:3" x14ac:dyDescent="0.3">
      <c r="B106" s="16" t="s">
        <v>144</v>
      </c>
      <c r="C106" s="16" t="s">
        <v>45</v>
      </c>
    </row>
    <row r="107" spans="2:3" x14ac:dyDescent="0.3">
      <c r="B107" s="16" t="s">
        <v>145</v>
      </c>
      <c r="C107" s="16" t="s">
        <v>45</v>
      </c>
    </row>
    <row r="108" spans="2:3" x14ac:dyDescent="0.3">
      <c r="B108" s="16" t="s">
        <v>146</v>
      </c>
      <c r="C108" s="16" t="s">
        <v>45</v>
      </c>
    </row>
    <row r="109" spans="2:3" x14ac:dyDescent="0.3">
      <c r="B109" s="16" t="s">
        <v>147</v>
      </c>
      <c r="C109" s="16" t="s">
        <v>45</v>
      </c>
    </row>
    <row r="110" spans="2:3" x14ac:dyDescent="0.3">
      <c r="B110" s="16" t="s">
        <v>148</v>
      </c>
      <c r="C110" s="16" t="s">
        <v>45</v>
      </c>
    </row>
    <row r="111" spans="2:3" x14ac:dyDescent="0.3">
      <c r="B111" s="16" t="s">
        <v>149</v>
      </c>
      <c r="C111" s="16" t="s">
        <v>45</v>
      </c>
    </row>
    <row r="112" spans="2:3" x14ac:dyDescent="0.3">
      <c r="B112" s="16" t="s">
        <v>150</v>
      </c>
      <c r="C112" s="16" t="s">
        <v>45</v>
      </c>
    </row>
    <row r="113" spans="1:3" x14ac:dyDescent="0.3">
      <c r="B113" s="16" t="s">
        <v>151</v>
      </c>
      <c r="C113" s="16" t="s">
        <v>45</v>
      </c>
    </row>
    <row r="114" spans="1:3" x14ac:dyDescent="0.3">
      <c r="B114" s="16" t="s">
        <v>152</v>
      </c>
      <c r="C114" s="16" t="s">
        <v>45</v>
      </c>
    </row>
    <row r="115" spans="1:3" x14ac:dyDescent="0.3">
      <c r="B115" s="16" t="s">
        <v>153</v>
      </c>
      <c r="C115" s="16" t="s">
        <v>45</v>
      </c>
    </row>
    <row r="116" spans="1:3" x14ac:dyDescent="0.3">
      <c r="A116" s="16" t="s">
        <v>192</v>
      </c>
      <c r="B116" s="16" t="s">
        <v>154</v>
      </c>
      <c r="C116" s="16" t="s">
        <v>45</v>
      </c>
    </row>
    <row r="117" spans="1:3" x14ac:dyDescent="0.3">
      <c r="B117" s="16" t="s">
        <v>155</v>
      </c>
      <c r="C117" s="16" t="s">
        <v>45</v>
      </c>
    </row>
    <row r="118" spans="1:3" x14ac:dyDescent="0.3">
      <c r="B118" s="16" t="s">
        <v>156</v>
      </c>
      <c r="C118" s="16" t="s">
        <v>45</v>
      </c>
    </row>
    <row r="119" spans="1:3" x14ac:dyDescent="0.3">
      <c r="B119" s="16" t="s">
        <v>157</v>
      </c>
      <c r="C119" s="16" t="s">
        <v>45</v>
      </c>
    </row>
    <row r="120" spans="1:3" x14ac:dyDescent="0.3">
      <c r="B120" s="16" t="s">
        <v>158</v>
      </c>
      <c r="C120" s="16" t="s">
        <v>45</v>
      </c>
    </row>
    <row r="121" spans="1:3" x14ac:dyDescent="0.3">
      <c r="B121" s="16" t="s">
        <v>159</v>
      </c>
      <c r="C121" s="16" t="s">
        <v>45</v>
      </c>
    </row>
    <row r="122" spans="1:3" x14ac:dyDescent="0.3">
      <c r="B122" s="16" t="s">
        <v>160</v>
      </c>
      <c r="C122" s="16" t="s">
        <v>45</v>
      </c>
    </row>
    <row r="123" spans="1:3" x14ac:dyDescent="0.3">
      <c r="B123" s="16" t="s">
        <v>161</v>
      </c>
      <c r="C123" s="16" t="s">
        <v>45</v>
      </c>
    </row>
    <row r="124" spans="1:3" x14ac:dyDescent="0.3">
      <c r="B124" s="16" t="s">
        <v>162</v>
      </c>
      <c r="C124" s="16" t="s">
        <v>45</v>
      </c>
    </row>
    <row r="125" spans="1:3" x14ac:dyDescent="0.3">
      <c r="A125" s="16" t="s">
        <v>21</v>
      </c>
    </row>
  </sheetData>
  <sheetProtection pivotTables="0"/>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C78"/>
  <sheetViews>
    <sheetView view="pageBreakPreview" zoomScaleNormal="100" zoomScaleSheetLayoutView="100" workbookViewId="0">
      <selection activeCell="F6" sqref="F6"/>
    </sheetView>
  </sheetViews>
  <sheetFormatPr defaultRowHeight="14.4" x14ac:dyDescent="0.3"/>
  <cols>
    <col min="1" max="1" width="15.109375" customWidth="1"/>
    <col min="2" max="2" width="15.5546875" style="21" bestFit="1" customWidth="1"/>
    <col min="3" max="3" width="15.5546875" style="22" bestFit="1" customWidth="1"/>
  </cols>
  <sheetData>
    <row r="1" spans="1:3" x14ac:dyDescent="0.3">
      <c r="A1" s="30" t="s">
        <v>26</v>
      </c>
      <c r="B1" s="30" t="s">
        <v>27</v>
      </c>
      <c r="C1" s="30" t="s">
        <v>28</v>
      </c>
    </row>
    <row r="2" spans="1:3" x14ac:dyDescent="0.3">
      <c r="A2" t="s">
        <v>62</v>
      </c>
      <c r="B2" s="21">
        <v>44921.444907407407</v>
      </c>
      <c r="C2" s="22">
        <v>44921.444907407407</v>
      </c>
    </row>
    <row r="3" spans="1:3" x14ac:dyDescent="0.3">
      <c r="A3" t="s">
        <v>62</v>
      </c>
      <c r="B3" s="21">
        <v>44921.447280092594</v>
      </c>
      <c r="C3" s="22">
        <v>44921.447280092594</v>
      </c>
    </row>
    <row r="4" spans="1:3" x14ac:dyDescent="0.3">
      <c r="A4" t="s">
        <v>62</v>
      </c>
      <c r="B4" s="21">
        <v>44921.45208333333</v>
      </c>
      <c r="C4" s="22">
        <v>44921.45208333333</v>
      </c>
    </row>
    <row r="5" spans="1:3" x14ac:dyDescent="0.3">
      <c r="A5" t="s">
        <v>62</v>
      </c>
      <c r="B5" s="21">
        <v>44921.453333333331</v>
      </c>
      <c r="C5" s="22">
        <v>44921.453333333331</v>
      </c>
    </row>
    <row r="6" spans="1:3" x14ac:dyDescent="0.3">
      <c r="A6" t="s">
        <v>62</v>
      </c>
      <c r="B6" s="21">
        <v>44921.453518518516</v>
      </c>
      <c r="C6" s="22">
        <v>44921.453518518516</v>
      </c>
    </row>
    <row r="7" spans="1:3" x14ac:dyDescent="0.3">
      <c r="A7" t="s">
        <v>62</v>
      </c>
      <c r="B7" s="21">
        <v>44921.454039351855</v>
      </c>
      <c r="C7" s="22">
        <v>44921.454039351855</v>
      </c>
    </row>
    <row r="8" spans="1:3" x14ac:dyDescent="0.3">
      <c r="A8" t="s">
        <v>62</v>
      </c>
      <c r="B8" s="21">
        <v>44921.458414351851</v>
      </c>
      <c r="C8" s="22">
        <v>44921.458414351851</v>
      </c>
    </row>
    <row r="9" spans="1:3" x14ac:dyDescent="0.3">
      <c r="A9" t="s">
        <v>62</v>
      </c>
      <c r="B9" s="21">
        <v>44921.459097222221</v>
      </c>
      <c r="C9" s="22">
        <v>44921.459097222221</v>
      </c>
    </row>
    <row r="10" spans="1:3" x14ac:dyDescent="0.3">
      <c r="A10" t="s">
        <v>62</v>
      </c>
      <c r="B10" s="21">
        <v>44921.464155092595</v>
      </c>
      <c r="C10" s="22">
        <v>44921.464155092595</v>
      </c>
    </row>
    <row r="11" spans="1:3" x14ac:dyDescent="0.3">
      <c r="A11" t="s">
        <v>62</v>
      </c>
      <c r="B11" s="21">
        <v>44921.464247685188</v>
      </c>
      <c r="C11" s="22">
        <v>44921.464247685188</v>
      </c>
    </row>
    <row r="12" spans="1:3" x14ac:dyDescent="0.3">
      <c r="A12" t="s">
        <v>62</v>
      </c>
      <c r="B12" s="21">
        <v>44921.46603009259</v>
      </c>
      <c r="C12" s="22">
        <v>44921.46603009259</v>
      </c>
    </row>
    <row r="13" spans="1:3" x14ac:dyDescent="0.3">
      <c r="A13" t="s">
        <v>62</v>
      </c>
      <c r="B13" s="21">
        <v>44921.466064814813</v>
      </c>
      <c r="C13" s="22">
        <v>44921.466064814813</v>
      </c>
    </row>
    <row r="14" spans="1:3" x14ac:dyDescent="0.3">
      <c r="A14" t="s">
        <v>62</v>
      </c>
      <c r="B14" s="21">
        <v>44921.467280092591</v>
      </c>
      <c r="C14" s="22">
        <v>44921.467280092591</v>
      </c>
    </row>
    <row r="15" spans="1:3" x14ac:dyDescent="0.3">
      <c r="A15" t="s">
        <v>62</v>
      </c>
      <c r="B15" s="21">
        <v>44921.467326388891</v>
      </c>
      <c r="C15" s="22">
        <v>44921.467326388891</v>
      </c>
    </row>
    <row r="16" spans="1:3" x14ac:dyDescent="0.3">
      <c r="A16" t="s">
        <v>62</v>
      </c>
      <c r="B16" s="21">
        <v>44921.468935185185</v>
      </c>
      <c r="C16" s="22">
        <v>44921.468935185185</v>
      </c>
    </row>
    <row r="17" spans="1:3" x14ac:dyDescent="0.3">
      <c r="A17" t="s">
        <v>62</v>
      </c>
      <c r="B17" s="21">
        <v>44921.468993055554</v>
      </c>
      <c r="C17" s="22">
        <v>44921.468993055554</v>
      </c>
    </row>
    <row r="18" spans="1:3" x14ac:dyDescent="0.3">
      <c r="A18" t="s">
        <v>62</v>
      </c>
      <c r="B18" s="21">
        <v>44921.469768518517</v>
      </c>
      <c r="C18" s="22">
        <v>44921.469768518517</v>
      </c>
    </row>
    <row r="19" spans="1:3" x14ac:dyDescent="0.3">
      <c r="A19" t="s">
        <v>62</v>
      </c>
      <c r="B19" s="21">
        <v>44921.46980324074</v>
      </c>
      <c r="C19" s="22">
        <v>44921.46980324074</v>
      </c>
    </row>
    <row r="20" spans="1:3" x14ac:dyDescent="0.3">
      <c r="A20" t="s">
        <v>62</v>
      </c>
      <c r="B20" s="21">
        <v>44921.476678240739</v>
      </c>
      <c r="C20" s="22">
        <v>44921.476678240739</v>
      </c>
    </row>
    <row r="21" spans="1:3" x14ac:dyDescent="0.3">
      <c r="A21" t="s">
        <v>62</v>
      </c>
      <c r="B21" s="21">
        <v>44921.476736111108</v>
      </c>
      <c r="C21" s="22">
        <v>44921.476736111108</v>
      </c>
    </row>
    <row r="22" spans="1:3" x14ac:dyDescent="0.3">
      <c r="A22" t="s">
        <v>62</v>
      </c>
      <c r="B22" s="21">
        <v>44921.477430555555</v>
      </c>
      <c r="C22" s="22">
        <v>44921.477430555555</v>
      </c>
    </row>
    <row r="23" spans="1:3" x14ac:dyDescent="0.3">
      <c r="A23" t="s">
        <v>62</v>
      </c>
      <c r="B23" s="21">
        <v>44921.48060185185</v>
      </c>
      <c r="C23" s="22">
        <v>44921.48060185185</v>
      </c>
    </row>
    <row r="24" spans="1:3" x14ac:dyDescent="0.3">
      <c r="A24" t="s">
        <v>62</v>
      </c>
      <c r="B24" s="21">
        <v>44921.48064814815</v>
      </c>
      <c r="C24" s="22">
        <v>44921.48064814815</v>
      </c>
    </row>
    <row r="25" spans="1:3" x14ac:dyDescent="0.3">
      <c r="A25" t="s">
        <v>62</v>
      </c>
      <c r="B25" s="21">
        <v>44921.480983796297</v>
      </c>
      <c r="C25" s="22">
        <v>44921.480983796297</v>
      </c>
    </row>
    <row r="26" spans="1:3" x14ac:dyDescent="0.3">
      <c r="A26" t="s">
        <v>62</v>
      </c>
      <c r="B26" s="21">
        <v>44921.481956018521</v>
      </c>
      <c r="C26" s="22">
        <v>44921.481956018521</v>
      </c>
    </row>
    <row r="27" spans="1:3" x14ac:dyDescent="0.3">
      <c r="A27" t="s">
        <v>62</v>
      </c>
      <c r="B27" s="21">
        <v>44921.482025462959</v>
      </c>
      <c r="C27" s="22">
        <v>44921.482025462959</v>
      </c>
    </row>
    <row r="28" spans="1:3" x14ac:dyDescent="0.3">
      <c r="A28" t="s">
        <v>62</v>
      </c>
      <c r="B28" s="21">
        <v>44921.483402777776</v>
      </c>
      <c r="C28" s="22">
        <v>44921.483402777776</v>
      </c>
    </row>
    <row r="29" spans="1:3" x14ac:dyDescent="0.3">
      <c r="A29" t="s">
        <v>62</v>
      </c>
      <c r="B29" s="21">
        <v>44921.483472222222</v>
      </c>
      <c r="C29" s="22">
        <v>44921.483472222222</v>
      </c>
    </row>
    <row r="30" spans="1:3" x14ac:dyDescent="0.3">
      <c r="A30" t="s">
        <v>62</v>
      </c>
      <c r="B30" s="21">
        <v>44921.484513888892</v>
      </c>
      <c r="C30" s="22">
        <v>44921.484513888892</v>
      </c>
    </row>
    <row r="31" spans="1:3" x14ac:dyDescent="0.3">
      <c r="A31" t="s">
        <v>62</v>
      </c>
      <c r="B31" s="21">
        <v>44921.484560185185</v>
      </c>
      <c r="C31" s="22">
        <v>44921.484560185185</v>
      </c>
    </row>
    <row r="32" spans="1:3" x14ac:dyDescent="0.3">
      <c r="A32" t="s">
        <v>62</v>
      </c>
      <c r="B32" s="21">
        <v>44921.485277777778</v>
      </c>
      <c r="C32" s="22">
        <v>44921.485277777778</v>
      </c>
    </row>
    <row r="33" spans="1:3" x14ac:dyDescent="0.3">
      <c r="A33" t="s">
        <v>62</v>
      </c>
      <c r="B33" s="21">
        <v>44921.485486111109</v>
      </c>
      <c r="C33" s="22">
        <v>44921.485486111109</v>
      </c>
    </row>
    <row r="34" spans="1:3" x14ac:dyDescent="0.3">
      <c r="A34" t="s">
        <v>62</v>
      </c>
      <c r="B34" s="21">
        <v>44921.485509259262</v>
      </c>
      <c r="C34" s="22">
        <v>44921.485509259262</v>
      </c>
    </row>
    <row r="35" spans="1:3" x14ac:dyDescent="0.3">
      <c r="A35" t="s">
        <v>62</v>
      </c>
      <c r="B35" s="21">
        <v>44921.485868055555</v>
      </c>
      <c r="C35" s="22">
        <v>44921.485868055555</v>
      </c>
    </row>
    <row r="36" spans="1:3" x14ac:dyDescent="0.3">
      <c r="A36" t="s">
        <v>62</v>
      </c>
      <c r="B36" s="21">
        <v>44921.48646990741</v>
      </c>
      <c r="C36" s="22">
        <v>44921.48646990741</v>
      </c>
    </row>
    <row r="37" spans="1:3" x14ac:dyDescent="0.3">
      <c r="A37" t="s">
        <v>62</v>
      </c>
      <c r="B37" s="21">
        <v>44921.487696759257</v>
      </c>
      <c r="C37" s="22">
        <v>44921.487696759257</v>
      </c>
    </row>
    <row r="38" spans="1:3" x14ac:dyDescent="0.3">
      <c r="A38" t="s">
        <v>62</v>
      </c>
      <c r="B38" s="21">
        <v>44921.488483796296</v>
      </c>
      <c r="C38" s="22">
        <v>44921.488483796296</v>
      </c>
    </row>
    <row r="39" spans="1:3" x14ac:dyDescent="0.3">
      <c r="A39" t="s">
        <v>62</v>
      </c>
      <c r="B39" s="21">
        <v>44921.49795138889</v>
      </c>
      <c r="C39" s="22">
        <v>44921.49795138889</v>
      </c>
    </row>
    <row r="40" spans="1:3" x14ac:dyDescent="0.3">
      <c r="A40" t="s">
        <v>62</v>
      </c>
      <c r="B40" s="21">
        <v>44921.498344907406</v>
      </c>
      <c r="C40" s="22">
        <v>44921.498344907406</v>
      </c>
    </row>
    <row r="41" spans="1:3" x14ac:dyDescent="0.3">
      <c r="A41" t="s">
        <v>62</v>
      </c>
      <c r="B41" s="21">
        <v>44921.530659722222</v>
      </c>
      <c r="C41" s="22">
        <v>44921.530659722222</v>
      </c>
    </row>
    <row r="42" spans="1:3" x14ac:dyDescent="0.3">
      <c r="A42" t="s">
        <v>62</v>
      </c>
      <c r="B42" s="21">
        <v>44921.6721412037</v>
      </c>
      <c r="C42" s="22">
        <v>44921.6721412037</v>
      </c>
    </row>
    <row r="43" spans="1:3" x14ac:dyDescent="0.3">
      <c r="A43" t="s">
        <v>62</v>
      </c>
      <c r="B43" s="21">
        <v>44921.67465277778</v>
      </c>
      <c r="C43" s="22">
        <v>44921.67465277778</v>
      </c>
    </row>
    <row r="44" spans="1:3" x14ac:dyDescent="0.3">
      <c r="A44" t="s">
        <v>62</v>
      </c>
      <c r="B44" s="21">
        <v>44921.677719907406</v>
      </c>
      <c r="C44" s="22">
        <v>44921.677719907406</v>
      </c>
    </row>
    <row r="45" spans="1:3" x14ac:dyDescent="0.3">
      <c r="A45" t="s">
        <v>62</v>
      </c>
      <c r="B45" s="21">
        <v>44921.711412037039</v>
      </c>
      <c r="C45" s="22">
        <v>44921.711412037039</v>
      </c>
    </row>
    <row r="46" spans="1:3" x14ac:dyDescent="0.3">
      <c r="A46" t="s">
        <v>62</v>
      </c>
      <c r="B46" s="21">
        <v>44921.711655092593</v>
      </c>
      <c r="C46" s="22">
        <v>44921.711655092593</v>
      </c>
    </row>
    <row r="47" spans="1:3" x14ac:dyDescent="0.3">
      <c r="A47" t="s">
        <v>62</v>
      </c>
      <c r="B47" s="21">
        <v>44921.71912037037</v>
      </c>
      <c r="C47" s="22">
        <v>44921.71912037037</v>
      </c>
    </row>
    <row r="48" spans="1:3" x14ac:dyDescent="0.3">
      <c r="A48" t="s">
        <v>62</v>
      </c>
      <c r="B48" s="21">
        <v>44921.724444444444</v>
      </c>
      <c r="C48" s="22">
        <v>44921.724444444444</v>
      </c>
    </row>
    <row r="49" spans="1:3" x14ac:dyDescent="0.3">
      <c r="A49" t="s">
        <v>62</v>
      </c>
      <c r="B49" s="21">
        <v>44921.724479166667</v>
      </c>
      <c r="C49" s="22">
        <v>44921.724479166667</v>
      </c>
    </row>
    <row r="50" spans="1:3" x14ac:dyDescent="0.3">
      <c r="A50" t="s">
        <v>62</v>
      </c>
      <c r="B50" s="21">
        <v>44921.769305555557</v>
      </c>
      <c r="C50" s="22">
        <v>44921.769305555557</v>
      </c>
    </row>
    <row r="51" spans="1:3" x14ac:dyDescent="0.3">
      <c r="A51" t="s">
        <v>62</v>
      </c>
      <c r="B51" s="21">
        <v>44921.769375000003</v>
      </c>
      <c r="C51" s="22">
        <v>44921.769375000003</v>
      </c>
    </row>
    <row r="52" spans="1:3" x14ac:dyDescent="0.3">
      <c r="A52" t="s">
        <v>62</v>
      </c>
      <c r="B52" s="21">
        <v>44921.769907407404</v>
      </c>
      <c r="C52" s="22">
        <v>44921.769907407404</v>
      </c>
    </row>
    <row r="53" spans="1:3" x14ac:dyDescent="0.3">
      <c r="A53" t="s">
        <v>62</v>
      </c>
      <c r="B53" s="21">
        <v>44921.769942129627</v>
      </c>
      <c r="C53" s="22">
        <v>44921.769942129627</v>
      </c>
    </row>
    <row r="54" spans="1:3" x14ac:dyDescent="0.3">
      <c r="A54" t="s">
        <v>62</v>
      </c>
      <c r="B54" s="21">
        <v>44921.793657407405</v>
      </c>
      <c r="C54" s="22">
        <v>44921.793657407405</v>
      </c>
    </row>
    <row r="55" spans="1:3" x14ac:dyDescent="0.3">
      <c r="A55" t="s">
        <v>62</v>
      </c>
      <c r="B55" s="21">
        <v>44921.793715277781</v>
      </c>
      <c r="C55" s="22">
        <v>44921.793715277781</v>
      </c>
    </row>
    <row r="56" spans="1:3" x14ac:dyDescent="0.3">
      <c r="A56" t="s">
        <v>62</v>
      </c>
      <c r="B56" s="21">
        <v>44921.81763888889</v>
      </c>
      <c r="C56" s="22">
        <v>44921.81763888889</v>
      </c>
    </row>
    <row r="57" spans="1:3" x14ac:dyDescent="0.3">
      <c r="A57" t="s">
        <v>62</v>
      </c>
      <c r="B57" s="21">
        <v>44921.821006944447</v>
      </c>
      <c r="C57" s="22">
        <v>44921.821006944447</v>
      </c>
    </row>
    <row r="58" spans="1:3" x14ac:dyDescent="0.3">
      <c r="A58" t="s">
        <v>62</v>
      </c>
      <c r="B58" s="21">
        <v>44921.82130787037</v>
      </c>
      <c r="C58" s="22">
        <v>44921.82130787037</v>
      </c>
    </row>
    <row r="59" spans="1:3" x14ac:dyDescent="0.3">
      <c r="A59" t="s">
        <v>62</v>
      </c>
      <c r="B59" s="21">
        <v>44921.823067129626</v>
      </c>
      <c r="C59" s="22">
        <v>44921.823067129626</v>
      </c>
    </row>
    <row r="60" spans="1:3" x14ac:dyDescent="0.3">
      <c r="A60" t="s">
        <v>62</v>
      </c>
      <c r="B60" s="21">
        <v>44921.823159722226</v>
      </c>
      <c r="C60" s="22">
        <v>44921.823159722226</v>
      </c>
    </row>
    <row r="61" spans="1:3" x14ac:dyDescent="0.3">
      <c r="A61" t="s">
        <v>62</v>
      </c>
      <c r="B61" s="21">
        <v>44921.825243055559</v>
      </c>
      <c r="C61" s="22">
        <v>44921.825243055559</v>
      </c>
    </row>
    <row r="62" spans="1:3" x14ac:dyDescent="0.3">
      <c r="A62" t="s">
        <v>62</v>
      </c>
      <c r="B62" s="21">
        <v>44921.825844907406</v>
      </c>
      <c r="C62" s="22">
        <v>44921.825844907406</v>
      </c>
    </row>
    <row r="63" spans="1:3" x14ac:dyDescent="0.3">
      <c r="A63" t="s">
        <v>62</v>
      </c>
      <c r="B63" s="21">
        <v>44921.827268518522</v>
      </c>
      <c r="C63" s="22">
        <v>44921.827268518522</v>
      </c>
    </row>
    <row r="64" spans="1:3" x14ac:dyDescent="0.3">
      <c r="A64" t="s">
        <v>62</v>
      </c>
      <c r="B64" s="21">
        <v>44922.592141203706</v>
      </c>
      <c r="C64" s="22">
        <v>44922.592141203706</v>
      </c>
    </row>
    <row r="65" spans="1:3" x14ac:dyDescent="0.3">
      <c r="A65" t="s">
        <v>62</v>
      </c>
      <c r="B65" s="21">
        <v>44922.606273148151</v>
      </c>
      <c r="C65" s="22">
        <v>44922.606273148151</v>
      </c>
    </row>
    <row r="66" spans="1:3" x14ac:dyDescent="0.3">
      <c r="A66" t="s">
        <v>62</v>
      </c>
      <c r="B66" s="21">
        <v>44922.688287037039</v>
      </c>
      <c r="C66" s="22">
        <v>44922.688287037039</v>
      </c>
    </row>
    <row r="67" spans="1:3" x14ac:dyDescent="0.3">
      <c r="A67" t="s">
        <v>62</v>
      </c>
      <c r="B67" s="21">
        <v>44922.739537037036</v>
      </c>
      <c r="C67" s="22">
        <v>44922.739537037036</v>
      </c>
    </row>
    <row r="68" spans="1:3" x14ac:dyDescent="0.3">
      <c r="A68" t="s">
        <v>62</v>
      </c>
      <c r="B68" s="21">
        <v>44922.739768518521</v>
      </c>
      <c r="C68" s="22">
        <v>44922.739768518521</v>
      </c>
    </row>
    <row r="69" spans="1:3" x14ac:dyDescent="0.3">
      <c r="A69" t="s">
        <v>62</v>
      </c>
      <c r="B69" s="21">
        <v>44922.739814814813</v>
      </c>
      <c r="C69" s="22">
        <v>44922.739814814813</v>
      </c>
    </row>
    <row r="70" spans="1:3" x14ac:dyDescent="0.3">
      <c r="A70" t="s">
        <v>62</v>
      </c>
      <c r="B70" s="21">
        <v>44922.771284722221</v>
      </c>
      <c r="C70" s="22">
        <v>44922.771284722221</v>
      </c>
    </row>
    <row r="71" spans="1:3" x14ac:dyDescent="0.3">
      <c r="A71" t="s">
        <v>62</v>
      </c>
      <c r="B71" s="21">
        <v>44923.690972222219</v>
      </c>
      <c r="C71" s="22">
        <v>44923.690972222219</v>
      </c>
    </row>
    <row r="72" spans="1:3" x14ac:dyDescent="0.3">
      <c r="A72" t="s">
        <v>62</v>
      </c>
      <c r="B72" s="21">
        <v>44923.691712962966</v>
      </c>
      <c r="C72" s="22">
        <v>44923.691712962966</v>
      </c>
    </row>
    <row r="73" spans="1:3" x14ac:dyDescent="0.3">
      <c r="A73" t="s">
        <v>62</v>
      </c>
      <c r="B73" s="21">
        <v>44923.693124999998</v>
      </c>
      <c r="C73" s="22">
        <v>44923.693124999998</v>
      </c>
    </row>
    <row r="74" spans="1:3" x14ac:dyDescent="0.3">
      <c r="A74" t="s">
        <v>62</v>
      </c>
      <c r="B74" s="21">
        <v>44923.693171296298</v>
      </c>
      <c r="C74" s="22">
        <v>44923.693171296298</v>
      </c>
    </row>
    <row r="75" spans="1:3" x14ac:dyDescent="0.3">
      <c r="A75" t="s">
        <v>62</v>
      </c>
      <c r="B75" s="21">
        <v>44923.694201388891</v>
      </c>
      <c r="C75" s="22">
        <v>44923.694201388891</v>
      </c>
    </row>
    <row r="76" spans="1:3" x14ac:dyDescent="0.3">
      <c r="A76" t="s">
        <v>62</v>
      </c>
      <c r="B76" s="21">
        <v>44923.694247685184</v>
      </c>
      <c r="C76" s="22">
        <v>44923.694247685184</v>
      </c>
    </row>
    <row r="77" spans="1:3" x14ac:dyDescent="0.3">
      <c r="A77" t="s">
        <v>62</v>
      </c>
      <c r="B77" s="21">
        <v>44923.694560185184</v>
      </c>
      <c r="C77" s="22">
        <v>44923.694560185184</v>
      </c>
    </row>
    <row r="78" spans="1:3" x14ac:dyDescent="0.3">
      <c r="A78" t="s">
        <v>62</v>
      </c>
      <c r="B78" s="21">
        <v>44923.69458333333</v>
      </c>
      <c r="C78" s="22">
        <v>44923.69458333333</v>
      </c>
    </row>
  </sheetData>
  <sheetProtection algorithmName="SHA-512" hashValue="nHf0wm1mSOqWZMyY33XNMpm6qoU4swO3rl/jiyssZFJ7iIMlW9sHSEgNc9Iu24n7o+392GY8hcmJaN71TjZaEw==" saltValue="UAHABiqQGJPZJ65ChCk6Fw==" spinCount="100000" sheet="1" objects="1" scenarios="1" autoFilter="0"/>
  <autoFilter ref="A1:C1" xr:uid="{00000000-0009-0000-0000-000008000000}"/>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3:G125"/>
  <sheetViews>
    <sheetView workbookViewId="0">
      <selection activeCell="H6" sqref="H6"/>
    </sheetView>
  </sheetViews>
  <sheetFormatPr defaultRowHeight="14.4" x14ac:dyDescent="0.3"/>
  <cols>
    <col min="1" max="1" width="32.6640625" bestFit="1" customWidth="1"/>
    <col min="2" max="2" width="14.33203125" bestFit="1" customWidth="1"/>
    <col min="3" max="3" width="12.33203125" bestFit="1" customWidth="1"/>
    <col min="4" max="4" width="28.6640625" bestFit="1" customWidth="1"/>
    <col min="5" max="5" width="10.5546875" bestFit="1" customWidth="1"/>
    <col min="6" max="6" width="18.21875" bestFit="1" customWidth="1"/>
    <col min="7" max="7" width="18.88671875" bestFit="1" customWidth="1"/>
  </cols>
  <sheetData>
    <row r="3" spans="1:7" x14ac:dyDescent="0.3">
      <c r="A3" s="15" t="s">
        <v>20</v>
      </c>
      <c r="B3" s="15" t="s">
        <v>9</v>
      </c>
      <c r="C3" s="15" t="s">
        <v>10</v>
      </c>
      <c r="D3" s="15" t="s">
        <v>4</v>
      </c>
      <c r="E3" s="15" t="s">
        <v>5</v>
      </c>
      <c r="F3" s="15" t="s">
        <v>215</v>
      </c>
      <c r="G3" s="15" t="s">
        <v>216</v>
      </c>
    </row>
    <row r="4" spans="1:7" x14ac:dyDescent="0.3">
      <c r="A4" s="16" t="s">
        <v>65</v>
      </c>
      <c r="B4" s="16" t="s">
        <v>238</v>
      </c>
      <c r="C4" s="16" t="s">
        <v>25</v>
      </c>
      <c r="D4" s="16" t="s">
        <v>38</v>
      </c>
      <c r="E4" s="16" t="s">
        <v>46</v>
      </c>
      <c r="F4" s="16" t="s">
        <v>206</v>
      </c>
      <c r="G4" s="16" t="s">
        <v>199</v>
      </c>
    </row>
    <row r="5" spans="1:7" x14ac:dyDescent="0.3">
      <c r="A5" s="16" t="s">
        <v>66</v>
      </c>
      <c r="B5" s="16" t="s">
        <v>239</v>
      </c>
      <c r="C5" s="16" t="s">
        <v>25</v>
      </c>
      <c r="D5" s="16" t="s">
        <v>13</v>
      </c>
      <c r="E5" s="16" t="s">
        <v>46</v>
      </c>
      <c r="F5" s="16" t="s">
        <v>206</v>
      </c>
      <c r="G5" s="16" t="s">
        <v>199</v>
      </c>
    </row>
    <row r="6" spans="1:7" x14ac:dyDescent="0.3">
      <c r="A6" s="16" t="s">
        <v>67</v>
      </c>
      <c r="B6" s="16" t="s">
        <v>243</v>
      </c>
      <c r="C6" s="16" t="s">
        <v>25</v>
      </c>
      <c r="D6" s="16" t="s">
        <v>13</v>
      </c>
      <c r="E6" s="16" t="s">
        <v>51</v>
      </c>
      <c r="F6" s="16" t="s">
        <v>206</v>
      </c>
      <c r="G6" s="16" t="s">
        <v>195</v>
      </c>
    </row>
    <row r="7" spans="1:7" x14ac:dyDescent="0.3">
      <c r="A7" s="16" t="s">
        <v>68</v>
      </c>
      <c r="B7" s="16" t="s">
        <v>235</v>
      </c>
      <c r="C7" s="16" t="s">
        <v>25</v>
      </c>
      <c r="D7" s="16" t="s">
        <v>15</v>
      </c>
      <c r="E7" s="16" t="s">
        <v>51</v>
      </c>
      <c r="F7" s="16" t="s">
        <v>206</v>
      </c>
      <c r="G7" s="16" t="s">
        <v>203</v>
      </c>
    </row>
    <row r="8" spans="1:7" x14ac:dyDescent="0.3">
      <c r="A8" s="16" t="s">
        <v>69</v>
      </c>
      <c r="B8" s="16" t="s">
        <v>241</v>
      </c>
      <c r="C8" s="16" t="s">
        <v>25</v>
      </c>
      <c r="D8" s="16" t="s">
        <v>37</v>
      </c>
      <c r="E8" s="16" t="s">
        <v>51</v>
      </c>
      <c r="F8" s="16" t="s">
        <v>206</v>
      </c>
      <c r="G8" s="16" t="s">
        <v>195</v>
      </c>
    </row>
    <row r="9" spans="1:7" x14ac:dyDescent="0.3">
      <c r="A9" s="16" t="s">
        <v>70</v>
      </c>
      <c r="B9" s="16" t="s">
        <v>232</v>
      </c>
      <c r="C9" s="16" t="s">
        <v>25</v>
      </c>
      <c r="D9" s="16" t="s">
        <v>37</v>
      </c>
      <c r="E9" s="16" t="s">
        <v>51</v>
      </c>
      <c r="F9" s="16" t="s">
        <v>206</v>
      </c>
      <c r="G9" s="16" t="s">
        <v>195</v>
      </c>
    </row>
    <row r="10" spans="1:7" x14ac:dyDescent="0.3">
      <c r="A10" s="16" t="s">
        <v>71</v>
      </c>
      <c r="B10" s="16" t="s">
        <v>244</v>
      </c>
      <c r="C10" s="16" t="s">
        <v>25</v>
      </c>
      <c r="D10" s="16" t="s">
        <v>13</v>
      </c>
      <c r="E10" s="16" t="s">
        <v>51</v>
      </c>
      <c r="F10" s="16" t="s">
        <v>206</v>
      </c>
      <c r="G10" s="16" t="s">
        <v>195</v>
      </c>
    </row>
    <row r="11" spans="1:7" x14ac:dyDescent="0.3">
      <c r="A11" s="16" t="s">
        <v>72</v>
      </c>
      <c r="B11" s="16" t="s">
        <v>230</v>
      </c>
      <c r="C11" s="16" t="s">
        <v>25</v>
      </c>
      <c r="D11" s="16" t="s">
        <v>13</v>
      </c>
      <c r="E11" s="16" t="s">
        <v>46</v>
      </c>
      <c r="F11" s="16" t="s">
        <v>206</v>
      </c>
      <c r="G11" s="16" t="s">
        <v>195</v>
      </c>
    </row>
    <row r="12" spans="1:7" x14ac:dyDescent="0.3">
      <c r="A12" s="16" t="s">
        <v>73</v>
      </c>
      <c r="B12" s="16" t="s">
        <v>239</v>
      </c>
      <c r="C12" s="16" t="s">
        <v>25</v>
      </c>
      <c r="D12" s="16" t="s">
        <v>37</v>
      </c>
      <c r="E12" s="16" t="s">
        <v>51</v>
      </c>
      <c r="F12" s="16" t="s">
        <v>206</v>
      </c>
      <c r="G12" s="16" t="s">
        <v>195</v>
      </c>
    </row>
    <row r="13" spans="1:7" x14ac:dyDescent="0.3">
      <c r="A13" s="16" t="s">
        <v>74</v>
      </c>
      <c r="B13" s="16" t="s">
        <v>230</v>
      </c>
      <c r="C13" s="16" t="s">
        <v>25</v>
      </c>
      <c r="D13" s="16" t="s">
        <v>37</v>
      </c>
      <c r="E13" s="16" t="s">
        <v>51</v>
      </c>
      <c r="F13" s="16" t="s">
        <v>206</v>
      </c>
      <c r="G13" s="16" t="s">
        <v>195</v>
      </c>
    </row>
    <row r="14" spans="1:7" x14ac:dyDescent="0.3">
      <c r="A14" s="16" t="s">
        <v>75</v>
      </c>
      <c r="B14" s="16" t="s">
        <v>230</v>
      </c>
      <c r="C14" s="16" t="s">
        <v>25</v>
      </c>
      <c r="D14" s="16" t="s">
        <v>37</v>
      </c>
      <c r="E14" s="16" t="s">
        <v>51</v>
      </c>
      <c r="F14" s="16" t="s">
        <v>206</v>
      </c>
      <c r="G14" s="16" t="s">
        <v>195</v>
      </c>
    </row>
    <row r="15" spans="1:7" x14ac:dyDescent="0.3">
      <c r="A15" s="16" t="s">
        <v>76</v>
      </c>
      <c r="B15" s="16" t="s">
        <v>245</v>
      </c>
      <c r="C15" s="16" t="s">
        <v>25</v>
      </c>
      <c r="D15" s="16" t="s">
        <v>37</v>
      </c>
      <c r="E15" s="16" t="s">
        <v>51</v>
      </c>
      <c r="F15" s="16" t="s">
        <v>206</v>
      </c>
      <c r="G15" s="16" t="s">
        <v>195</v>
      </c>
    </row>
    <row r="16" spans="1:7" x14ac:dyDescent="0.3">
      <c r="A16" s="16" t="s">
        <v>77</v>
      </c>
      <c r="B16" s="16" t="s">
        <v>239</v>
      </c>
      <c r="C16" s="16" t="s">
        <v>25</v>
      </c>
      <c r="D16" s="16" t="s">
        <v>13</v>
      </c>
      <c r="E16" s="16" t="s">
        <v>51</v>
      </c>
      <c r="F16" s="16" t="s">
        <v>206</v>
      </c>
      <c r="G16" s="16" t="s">
        <v>199</v>
      </c>
    </row>
    <row r="17" spans="1:7" x14ac:dyDescent="0.3">
      <c r="A17" s="16" t="s">
        <v>78</v>
      </c>
      <c r="B17" s="16" t="s">
        <v>236</v>
      </c>
      <c r="C17" s="16" t="s">
        <v>25</v>
      </c>
      <c r="D17" s="16" t="s">
        <v>15</v>
      </c>
      <c r="E17" s="16" t="s">
        <v>51</v>
      </c>
      <c r="F17" s="16" t="s">
        <v>206</v>
      </c>
      <c r="G17" s="16" t="s">
        <v>203</v>
      </c>
    </row>
    <row r="18" spans="1:7" x14ac:dyDescent="0.3">
      <c r="A18" s="16" t="s">
        <v>79</v>
      </c>
      <c r="B18" s="16" t="s">
        <v>236</v>
      </c>
      <c r="C18" s="16" t="s">
        <v>25</v>
      </c>
      <c r="D18" s="16" t="s">
        <v>17</v>
      </c>
      <c r="E18" s="16" t="s">
        <v>51</v>
      </c>
      <c r="F18" s="16" t="s">
        <v>207</v>
      </c>
      <c r="G18" s="16" t="s">
        <v>199</v>
      </c>
    </row>
    <row r="19" spans="1:7" x14ac:dyDescent="0.3">
      <c r="A19" s="16" t="s">
        <v>80</v>
      </c>
      <c r="B19" s="16" t="s">
        <v>231</v>
      </c>
      <c r="C19" s="16" t="s">
        <v>25</v>
      </c>
      <c r="D19" s="16" t="s">
        <v>37</v>
      </c>
      <c r="E19" s="16" t="s">
        <v>51</v>
      </c>
      <c r="F19" s="16" t="s">
        <v>207</v>
      </c>
      <c r="G19" s="16" t="s">
        <v>199</v>
      </c>
    </row>
    <row r="20" spans="1:7" x14ac:dyDescent="0.3">
      <c r="A20" s="16" t="s">
        <v>81</v>
      </c>
      <c r="B20" s="16" t="s">
        <v>243</v>
      </c>
      <c r="C20" s="16" t="s">
        <v>25</v>
      </c>
      <c r="D20" s="16" t="s">
        <v>37</v>
      </c>
      <c r="E20" s="16" t="s">
        <v>51</v>
      </c>
      <c r="F20" s="16" t="s">
        <v>207</v>
      </c>
      <c r="G20" s="16" t="s">
        <v>199</v>
      </c>
    </row>
    <row r="21" spans="1:7" x14ac:dyDescent="0.3">
      <c r="A21" s="16" t="s">
        <v>82</v>
      </c>
      <c r="B21" s="16" t="s">
        <v>236</v>
      </c>
      <c r="C21" s="16" t="s">
        <v>25</v>
      </c>
      <c r="D21" s="16" t="s">
        <v>37</v>
      </c>
      <c r="E21" s="16" t="s">
        <v>51</v>
      </c>
      <c r="F21" s="16" t="s">
        <v>207</v>
      </c>
      <c r="G21" s="16" t="s">
        <v>199</v>
      </c>
    </row>
    <row r="22" spans="1:7" x14ac:dyDescent="0.3">
      <c r="A22" s="16" t="s">
        <v>83</v>
      </c>
      <c r="B22" s="16" t="s">
        <v>241</v>
      </c>
      <c r="C22" s="16" t="s">
        <v>25</v>
      </c>
      <c r="D22" s="16" t="s">
        <v>38</v>
      </c>
      <c r="E22" s="16" t="s">
        <v>51</v>
      </c>
      <c r="F22" s="16" t="s">
        <v>207</v>
      </c>
      <c r="G22" s="16" t="s">
        <v>195</v>
      </c>
    </row>
    <row r="23" spans="1:7" x14ac:dyDescent="0.3">
      <c r="A23" s="16" t="s">
        <v>84</v>
      </c>
      <c r="B23" s="16" t="s">
        <v>239</v>
      </c>
      <c r="C23" s="16" t="s">
        <v>25</v>
      </c>
      <c r="D23" s="16" t="s">
        <v>13</v>
      </c>
      <c r="E23" s="16" t="s">
        <v>51</v>
      </c>
      <c r="F23" s="16" t="s">
        <v>207</v>
      </c>
      <c r="G23" s="16" t="s">
        <v>199</v>
      </c>
    </row>
    <row r="24" spans="1:7" x14ac:dyDescent="0.3">
      <c r="A24" s="16" t="s">
        <v>85</v>
      </c>
      <c r="B24" s="16" t="s">
        <v>238</v>
      </c>
      <c r="C24" s="16" t="s">
        <v>25</v>
      </c>
      <c r="D24" s="16" t="s">
        <v>13</v>
      </c>
      <c r="E24" s="16" t="s">
        <v>51</v>
      </c>
      <c r="F24" s="16" t="s">
        <v>207</v>
      </c>
      <c r="G24" s="16" t="s">
        <v>195</v>
      </c>
    </row>
    <row r="25" spans="1:7" x14ac:dyDescent="0.3">
      <c r="A25" s="16" t="s">
        <v>86</v>
      </c>
      <c r="B25" s="16" t="s">
        <v>237</v>
      </c>
      <c r="C25" s="16" t="s">
        <v>25</v>
      </c>
      <c r="D25" s="16" t="s">
        <v>38</v>
      </c>
      <c r="E25" s="16" t="s">
        <v>51</v>
      </c>
      <c r="F25" s="16" t="s">
        <v>207</v>
      </c>
      <c r="G25" s="16" t="s">
        <v>195</v>
      </c>
    </row>
    <row r="26" spans="1:7" x14ac:dyDescent="0.3">
      <c r="A26" s="16" t="s">
        <v>87</v>
      </c>
      <c r="B26" s="16" t="s">
        <v>234</v>
      </c>
      <c r="C26" s="16" t="s">
        <v>25</v>
      </c>
      <c r="D26" s="16" t="s">
        <v>37</v>
      </c>
      <c r="E26" s="16" t="s">
        <v>51</v>
      </c>
      <c r="F26" s="16" t="s">
        <v>207</v>
      </c>
      <c r="G26" s="16" t="s">
        <v>195</v>
      </c>
    </row>
    <row r="27" spans="1:7" x14ac:dyDescent="0.3">
      <c r="A27" s="16" t="s">
        <v>88</v>
      </c>
      <c r="B27" s="16" t="s">
        <v>241</v>
      </c>
      <c r="C27" s="16" t="s">
        <v>25</v>
      </c>
      <c r="D27" s="16" t="s">
        <v>37</v>
      </c>
      <c r="E27" s="16" t="s">
        <v>51</v>
      </c>
      <c r="F27" s="16" t="s">
        <v>207</v>
      </c>
      <c r="G27" s="16" t="s">
        <v>195</v>
      </c>
    </row>
    <row r="28" spans="1:7" x14ac:dyDescent="0.3">
      <c r="A28" s="16" t="s">
        <v>89</v>
      </c>
      <c r="B28" s="16" t="s">
        <v>237</v>
      </c>
      <c r="C28" s="16" t="s">
        <v>25</v>
      </c>
      <c r="D28" s="16" t="s">
        <v>37</v>
      </c>
      <c r="E28" s="16" t="s">
        <v>46</v>
      </c>
      <c r="F28" s="16" t="s">
        <v>207</v>
      </c>
      <c r="G28" s="16" t="s">
        <v>195</v>
      </c>
    </row>
    <row r="29" spans="1:7" x14ac:dyDescent="0.3">
      <c r="A29" s="16" t="s">
        <v>90</v>
      </c>
      <c r="B29" s="16" t="s">
        <v>230</v>
      </c>
      <c r="C29" s="16" t="s">
        <v>25</v>
      </c>
      <c r="D29" s="16" t="s">
        <v>37</v>
      </c>
      <c r="E29" s="16" t="s">
        <v>46</v>
      </c>
      <c r="F29" s="16" t="s">
        <v>207</v>
      </c>
      <c r="G29" s="16" t="s">
        <v>195</v>
      </c>
    </row>
    <row r="30" spans="1:7" x14ac:dyDescent="0.3">
      <c r="A30" s="16" t="s">
        <v>91</v>
      </c>
      <c r="B30" s="16" t="s">
        <v>240</v>
      </c>
      <c r="C30" s="16" t="s">
        <v>25</v>
      </c>
      <c r="D30" s="16" t="s">
        <v>37</v>
      </c>
      <c r="E30" s="16" t="s">
        <v>46</v>
      </c>
      <c r="F30" s="16" t="s">
        <v>207</v>
      </c>
      <c r="G30" s="16" t="s">
        <v>195</v>
      </c>
    </row>
    <row r="31" spans="1:7" x14ac:dyDescent="0.3">
      <c r="A31" s="16" t="s">
        <v>92</v>
      </c>
      <c r="B31" s="16" t="s">
        <v>244</v>
      </c>
      <c r="C31" s="16" t="s">
        <v>25</v>
      </c>
      <c r="D31" s="16" t="s">
        <v>37</v>
      </c>
      <c r="E31" s="16" t="s">
        <v>51</v>
      </c>
      <c r="F31" s="16" t="s">
        <v>207</v>
      </c>
      <c r="G31" s="16" t="s">
        <v>199</v>
      </c>
    </row>
    <row r="32" spans="1:7" x14ac:dyDescent="0.3">
      <c r="A32" s="16" t="s">
        <v>93</v>
      </c>
      <c r="B32" s="16" t="s">
        <v>245</v>
      </c>
      <c r="C32" s="16" t="s">
        <v>25</v>
      </c>
      <c r="D32" s="16" t="s">
        <v>38</v>
      </c>
      <c r="E32" s="16" t="s">
        <v>46</v>
      </c>
      <c r="F32" s="16" t="s">
        <v>208</v>
      </c>
      <c r="G32" s="16" t="s">
        <v>195</v>
      </c>
    </row>
    <row r="33" spans="1:7" x14ac:dyDescent="0.3">
      <c r="A33" s="16" t="s">
        <v>94</v>
      </c>
      <c r="B33" s="16" t="s">
        <v>239</v>
      </c>
      <c r="C33" s="16" t="s">
        <v>25</v>
      </c>
      <c r="D33" s="16" t="s">
        <v>38</v>
      </c>
      <c r="E33" s="16" t="s">
        <v>51</v>
      </c>
      <c r="F33" s="16" t="s">
        <v>205</v>
      </c>
      <c r="G33" s="16" t="s">
        <v>195</v>
      </c>
    </row>
    <row r="34" spans="1:7" x14ac:dyDescent="0.3">
      <c r="A34" s="16" t="s">
        <v>95</v>
      </c>
      <c r="B34" s="16" t="s">
        <v>236</v>
      </c>
      <c r="C34" s="16" t="s">
        <v>25</v>
      </c>
      <c r="D34" s="16" t="s">
        <v>15</v>
      </c>
      <c r="E34" s="16" t="s">
        <v>46</v>
      </c>
      <c r="F34" s="16" t="s">
        <v>208</v>
      </c>
      <c r="G34" s="16" t="s">
        <v>195</v>
      </c>
    </row>
    <row r="35" spans="1:7" x14ac:dyDescent="0.3">
      <c r="A35" s="16" t="s">
        <v>96</v>
      </c>
      <c r="B35" s="16" t="s">
        <v>238</v>
      </c>
      <c r="C35" s="16" t="s">
        <v>25</v>
      </c>
      <c r="D35" s="16" t="s">
        <v>38</v>
      </c>
      <c r="E35" s="16" t="s">
        <v>51</v>
      </c>
      <c r="F35" s="16" t="s">
        <v>205</v>
      </c>
      <c r="G35" s="16" t="s">
        <v>195</v>
      </c>
    </row>
    <row r="36" spans="1:7" x14ac:dyDescent="0.3">
      <c r="A36" s="16" t="s">
        <v>97</v>
      </c>
      <c r="B36" s="16" t="s">
        <v>231</v>
      </c>
      <c r="C36" s="16" t="s">
        <v>25</v>
      </c>
      <c r="D36" s="16" t="s">
        <v>38</v>
      </c>
      <c r="E36" s="16" t="s">
        <v>51</v>
      </c>
      <c r="F36" s="16" t="s">
        <v>205</v>
      </c>
      <c r="G36" s="16" t="s">
        <v>195</v>
      </c>
    </row>
    <row r="37" spans="1:7" x14ac:dyDescent="0.3">
      <c r="A37" s="16" t="s">
        <v>98</v>
      </c>
      <c r="B37" s="16" t="s">
        <v>234</v>
      </c>
      <c r="C37" s="16" t="s">
        <v>25</v>
      </c>
      <c r="D37" s="16" t="s">
        <v>13</v>
      </c>
      <c r="E37" s="16" t="s">
        <v>51</v>
      </c>
      <c r="F37" s="16" t="s">
        <v>208</v>
      </c>
      <c r="G37" s="16" t="s">
        <v>195</v>
      </c>
    </row>
    <row r="38" spans="1:7" x14ac:dyDescent="0.3">
      <c r="A38" s="16" t="s">
        <v>99</v>
      </c>
      <c r="B38" s="16" t="s">
        <v>247</v>
      </c>
      <c r="C38" s="16" t="s">
        <v>25</v>
      </c>
      <c r="D38" s="16" t="s">
        <v>38</v>
      </c>
      <c r="E38" s="16" t="s">
        <v>51</v>
      </c>
      <c r="F38" s="16" t="s">
        <v>208</v>
      </c>
      <c r="G38" s="16" t="s">
        <v>195</v>
      </c>
    </row>
    <row r="39" spans="1:7" x14ac:dyDescent="0.3">
      <c r="A39" s="16" t="s">
        <v>100</v>
      </c>
      <c r="B39" s="16" t="s">
        <v>230</v>
      </c>
      <c r="C39" s="16" t="s">
        <v>25</v>
      </c>
      <c r="D39" s="16" t="s">
        <v>38</v>
      </c>
      <c r="E39" s="16" t="s">
        <v>51</v>
      </c>
      <c r="F39" s="16" t="s">
        <v>205</v>
      </c>
      <c r="G39" s="16" t="s">
        <v>195</v>
      </c>
    </row>
    <row r="40" spans="1:7" x14ac:dyDescent="0.3">
      <c r="A40" s="16" t="s">
        <v>101</v>
      </c>
      <c r="B40" s="16" t="s">
        <v>233</v>
      </c>
      <c r="C40" s="16" t="s">
        <v>25</v>
      </c>
      <c r="D40" s="16" t="s">
        <v>38</v>
      </c>
      <c r="E40" s="16" t="s">
        <v>51</v>
      </c>
      <c r="F40" s="16" t="s">
        <v>208</v>
      </c>
      <c r="G40" s="16" t="s">
        <v>195</v>
      </c>
    </row>
    <row r="41" spans="1:7" x14ac:dyDescent="0.3">
      <c r="A41" s="16" t="s">
        <v>102</v>
      </c>
      <c r="B41" s="16" t="s">
        <v>232</v>
      </c>
      <c r="C41" s="16" t="s">
        <v>25</v>
      </c>
      <c r="D41" s="16" t="s">
        <v>38</v>
      </c>
      <c r="E41" s="16" t="s">
        <v>51</v>
      </c>
      <c r="F41" s="16" t="s">
        <v>208</v>
      </c>
      <c r="G41" s="16" t="s">
        <v>195</v>
      </c>
    </row>
    <row r="42" spans="1:7" x14ac:dyDescent="0.3">
      <c r="A42" s="16" t="s">
        <v>103</v>
      </c>
      <c r="B42" s="16" t="s">
        <v>238</v>
      </c>
      <c r="C42" s="16" t="s">
        <v>25</v>
      </c>
      <c r="D42" s="16" t="s">
        <v>37</v>
      </c>
      <c r="E42" s="16" t="s">
        <v>51</v>
      </c>
      <c r="F42" s="16" t="s">
        <v>208</v>
      </c>
      <c r="G42" s="16" t="s">
        <v>195</v>
      </c>
    </row>
    <row r="43" spans="1:7" x14ac:dyDescent="0.3">
      <c r="A43" s="16" t="s">
        <v>104</v>
      </c>
      <c r="B43" s="16" t="s">
        <v>240</v>
      </c>
      <c r="C43" s="16" t="s">
        <v>25</v>
      </c>
      <c r="D43" s="16" t="s">
        <v>37</v>
      </c>
      <c r="E43" s="16" t="s">
        <v>46</v>
      </c>
      <c r="F43" s="16" t="s">
        <v>209</v>
      </c>
      <c r="G43" s="16" t="s">
        <v>199</v>
      </c>
    </row>
    <row r="44" spans="1:7" x14ac:dyDescent="0.3">
      <c r="A44" s="16" t="s">
        <v>105</v>
      </c>
      <c r="B44" s="16" t="s">
        <v>231</v>
      </c>
      <c r="C44" s="16" t="s">
        <v>25</v>
      </c>
      <c r="D44" s="16" t="s">
        <v>37</v>
      </c>
      <c r="E44" s="16" t="s">
        <v>46</v>
      </c>
      <c r="F44" s="16" t="s">
        <v>209</v>
      </c>
      <c r="G44" s="16" t="s">
        <v>199</v>
      </c>
    </row>
    <row r="45" spans="1:7" x14ac:dyDescent="0.3">
      <c r="A45" s="16" t="s">
        <v>106</v>
      </c>
      <c r="B45" s="16" t="s">
        <v>242</v>
      </c>
      <c r="C45" s="16" t="s">
        <v>25</v>
      </c>
      <c r="D45" s="16" t="s">
        <v>37</v>
      </c>
      <c r="E45" s="16" t="s">
        <v>46</v>
      </c>
      <c r="F45" s="16" t="s">
        <v>209</v>
      </c>
      <c r="G45" s="16" t="s">
        <v>199</v>
      </c>
    </row>
    <row r="46" spans="1:7" x14ac:dyDescent="0.3">
      <c r="A46" s="16" t="s">
        <v>107</v>
      </c>
      <c r="B46" s="16" t="s">
        <v>235</v>
      </c>
      <c r="C46" s="16" t="s">
        <v>25</v>
      </c>
      <c r="D46" s="16" t="s">
        <v>37</v>
      </c>
      <c r="E46" s="16" t="s">
        <v>46</v>
      </c>
      <c r="F46" s="16" t="s">
        <v>209</v>
      </c>
      <c r="G46" s="16" t="s">
        <v>199</v>
      </c>
    </row>
    <row r="47" spans="1:7" x14ac:dyDescent="0.3">
      <c r="A47" s="16" t="s">
        <v>108</v>
      </c>
      <c r="B47" s="16" t="s">
        <v>245</v>
      </c>
      <c r="C47" s="16" t="s">
        <v>25</v>
      </c>
      <c r="D47" s="16" t="s">
        <v>37</v>
      </c>
      <c r="E47" s="16" t="s">
        <v>46</v>
      </c>
      <c r="F47" s="16" t="s">
        <v>209</v>
      </c>
      <c r="G47" s="16" t="s">
        <v>199</v>
      </c>
    </row>
    <row r="48" spans="1:7" x14ac:dyDescent="0.3">
      <c r="A48" s="16" t="s">
        <v>109</v>
      </c>
      <c r="B48" s="16" t="s">
        <v>230</v>
      </c>
      <c r="C48" s="16" t="s">
        <v>25</v>
      </c>
      <c r="D48" s="16" t="s">
        <v>37</v>
      </c>
      <c r="E48" s="16" t="s">
        <v>46</v>
      </c>
      <c r="F48" s="16" t="s">
        <v>214</v>
      </c>
      <c r="G48" s="16" t="s">
        <v>199</v>
      </c>
    </row>
    <row r="49" spans="1:7" x14ac:dyDescent="0.3">
      <c r="A49" s="16" t="s">
        <v>110</v>
      </c>
      <c r="B49" s="16" t="s">
        <v>241</v>
      </c>
      <c r="C49" s="16" t="s">
        <v>25</v>
      </c>
      <c r="D49" s="16" t="s">
        <v>38</v>
      </c>
      <c r="E49" s="16" t="s">
        <v>46</v>
      </c>
      <c r="F49" s="16" t="s">
        <v>209</v>
      </c>
      <c r="G49" s="16" t="s">
        <v>196</v>
      </c>
    </row>
    <row r="50" spans="1:7" x14ac:dyDescent="0.3">
      <c r="A50" s="16" t="s">
        <v>111</v>
      </c>
      <c r="B50" s="16" t="s">
        <v>245</v>
      </c>
      <c r="C50" s="16" t="s">
        <v>25</v>
      </c>
      <c r="D50" s="16" t="s">
        <v>38</v>
      </c>
      <c r="E50" s="16" t="s">
        <v>51</v>
      </c>
      <c r="F50" s="16" t="s">
        <v>209</v>
      </c>
      <c r="G50" s="16" t="s">
        <v>196</v>
      </c>
    </row>
    <row r="51" spans="1:7" x14ac:dyDescent="0.3">
      <c r="A51" s="16" t="s">
        <v>112</v>
      </c>
      <c r="B51" s="16" t="s">
        <v>244</v>
      </c>
      <c r="C51" s="16" t="s">
        <v>25</v>
      </c>
      <c r="D51" s="16" t="s">
        <v>38</v>
      </c>
      <c r="E51" s="16" t="s">
        <v>51</v>
      </c>
      <c r="F51" s="16" t="s">
        <v>209</v>
      </c>
      <c r="G51" s="16" t="s">
        <v>196</v>
      </c>
    </row>
    <row r="52" spans="1:7" x14ac:dyDescent="0.3">
      <c r="A52" s="16" t="s">
        <v>113</v>
      </c>
      <c r="B52" s="16" t="s">
        <v>247</v>
      </c>
      <c r="C52" s="16" t="s">
        <v>25</v>
      </c>
      <c r="D52" s="16" t="s">
        <v>17</v>
      </c>
      <c r="E52" s="16" t="s">
        <v>51</v>
      </c>
      <c r="F52" s="16" t="s">
        <v>209</v>
      </c>
      <c r="G52" s="16" t="s">
        <v>196</v>
      </c>
    </row>
    <row r="53" spans="1:7" x14ac:dyDescent="0.3">
      <c r="A53" s="16" t="s">
        <v>114</v>
      </c>
      <c r="B53" s="16" t="s">
        <v>232</v>
      </c>
      <c r="C53" s="16" t="s">
        <v>25</v>
      </c>
      <c r="D53" s="16" t="s">
        <v>17</v>
      </c>
      <c r="E53" s="16" t="s">
        <v>51</v>
      </c>
      <c r="F53" s="16" t="s">
        <v>210</v>
      </c>
      <c r="G53" s="16" t="s">
        <v>201</v>
      </c>
    </row>
    <row r="54" spans="1:7" x14ac:dyDescent="0.3">
      <c r="A54" s="16" t="s">
        <v>115</v>
      </c>
      <c r="B54" s="16" t="s">
        <v>247</v>
      </c>
      <c r="C54" s="16" t="s">
        <v>25</v>
      </c>
      <c r="D54" s="16" t="s">
        <v>15</v>
      </c>
      <c r="E54" s="16" t="s">
        <v>51</v>
      </c>
      <c r="F54" s="16" t="s">
        <v>210</v>
      </c>
      <c r="G54" s="16" t="s">
        <v>201</v>
      </c>
    </row>
    <row r="55" spans="1:7" x14ac:dyDescent="0.3">
      <c r="A55" s="16" t="s">
        <v>116</v>
      </c>
      <c r="B55" s="16" t="s">
        <v>234</v>
      </c>
      <c r="C55" s="16" t="s">
        <v>25</v>
      </c>
      <c r="D55" s="16" t="s">
        <v>18</v>
      </c>
      <c r="E55" s="16" t="s">
        <v>51</v>
      </c>
      <c r="F55" s="16" t="s">
        <v>210</v>
      </c>
      <c r="G55" s="16" t="s">
        <v>201</v>
      </c>
    </row>
    <row r="56" spans="1:7" x14ac:dyDescent="0.3">
      <c r="A56" s="16" t="s">
        <v>117</v>
      </c>
      <c r="B56" s="16" t="s">
        <v>236</v>
      </c>
      <c r="C56" s="16" t="s">
        <v>25</v>
      </c>
      <c r="D56" s="16" t="s">
        <v>17</v>
      </c>
      <c r="E56" s="16" t="s">
        <v>57</v>
      </c>
      <c r="F56" s="16" t="s">
        <v>210</v>
      </c>
      <c r="G56" s="16" t="s">
        <v>203</v>
      </c>
    </row>
    <row r="57" spans="1:7" x14ac:dyDescent="0.3">
      <c r="A57" s="16" t="s">
        <v>118</v>
      </c>
      <c r="B57" s="16" t="s">
        <v>232</v>
      </c>
      <c r="C57" s="16" t="s">
        <v>25</v>
      </c>
      <c r="D57" s="16" t="s">
        <v>17</v>
      </c>
      <c r="E57" s="16" t="s">
        <v>51</v>
      </c>
      <c r="F57" s="16" t="s">
        <v>210</v>
      </c>
      <c r="G57" s="16" t="s">
        <v>203</v>
      </c>
    </row>
    <row r="58" spans="1:7" x14ac:dyDescent="0.3">
      <c r="A58" s="16" t="s">
        <v>119</v>
      </c>
      <c r="B58" s="16" t="s">
        <v>239</v>
      </c>
      <c r="C58" s="16" t="s">
        <v>25</v>
      </c>
      <c r="D58" s="16" t="s">
        <v>17</v>
      </c>
      <c r="E58" s="16" t="s">
        <v>51</v>
      </c>
      <c r="F58" s="16" t="s">
        <v>210</v>
      </c>
      <c r="G58" s="16" t="s">
        <v>201</v>
      </c>
    </row>
    <row r="59" spans="1:7" x14ac:dyDescent="0.3">
      <c r="A59" s="16" t="s">
        <v>120</v>
      </c>
      <c r="B59" s="16" t="s">
        <v>245</v>
      </c>
      <c r="C59" s="16" t="s">
        <v>25</v>
      </c>
      <c r="D59" s="16" t="s">
        <v>13</v>
      </c>
      <c r="E59" s="16" t="s">
        <v>51</v>
      </c>
      <c r="F59" s="16" t="s">
        <v>210</v>
      </c>
      <c r="G59" s="16" t="s">
        <v>203</v>
      </c>
    </row>
    <row r="60" spans="1:7" x14ac:dyDescent="0.3">
      <c r="A60" s="16" t="s">
        <v>121</v>
      </c>
      <c r="B60" s="16" t="s">
        <v>230</v>
      </c>
      <c r="C60" s="16" t="s">
        <v>25</v>
      </c>
      <c r="D60" s="16" t="s">
        <v>18</v>
      </c>
      <c r="E60" s="16" t="s">
        <v>51</v>
      </c>
      <c r="F60" s="16" t="s">
        <v>210</v>
      </c>
      <c r="G60" s="16" t="s">
        <v>203</v>
      </c>
    </row>
    <row r="61" spans="1:7" x14ac:dyDescent="0.3">
      <c r="A61" s="16" t="s">
        <v>122</v>
      </c>
      <c r="B61" s="16" t="s">
        <v>238</v>
      </c>
      <c r="C61" s="16" t="s">
        <v>25</v>
      </c>
      <c r="D61" s="16" t="s">
        <v>18</v>
      </c>
      <c r="E61" s="16" t="s">
        <v>51</v>
      </c>
      <c r="F61" s="16" t="s">
        <v>210</v>
      </c>
      <c r="G61" s="16" t="s">
        <v>203</v>
      </c>
    </row>
    <row r="62" spans="1:7" x14ac:dyDescent="0.3">
      <c r="A62" s="16" t="s">
        <v>123</v>
      </c>
      <c r="B62" s="16" t="s">
        <v>237</v>
      </c>
      <c r="C62" s="16" t="s">
        <v>25</v>
      </c>
      <c r="D62" s="16" t="s">
        <v>13</v>
      </c>
      <c r="E62" s="16" t="s">
        <v>51</v>
      </c>
      <c r="F62" s="16" t="s">
        <v>217</v>
      </c>
      <c r="G62" s="16" t="s">
        <v>204</v>
      </c>
    </row>
    <row r="63" spans="1:7" x14ac:dyDescent="0.3">
      <c r="A63" s="16" t="s">
        <v>124</v>
      </c>
      <c r="B63" s="16" t="s">
        <v>233</v>
      </c>
      <c r="C63" s="16" t="s">
        <v>25</v>
      </c>
      <c r="D63" s="16" t="s">
        <v>18</v>
      </c>
      <c r="E63" s="16" t="s">
        <v>51</v>
      </c>
      <c r="F63" s="16" t="s">
        <v>217</v>
      </c>
      <c r="G63" s="16" t="s">
        <v>204</v>
      </c>
    </row>
    <row r="64" spans="1:7" x14ac:dyDescent="0.3">
      <c r="A64" s="16" t="s">
        <v>125</v>
      </c>
      <c r="B64" s="16" t="s">
        <v>243</v>
      </c>
      <c r="C64" s="16" t="s">
        <v>25</v>
      </c>
      <c r="D64" s="16" t="s">
        <v>17</v>
      </c>
      <c r="E64" s="16" t="s">
        <v>51</v>
      </c>
      <c r="F64" s="16" t="s">
        <v>217</v>
      </c>
      <c r="G64" s="16" t="s">
        <v>197</v>
      </c>
    </row>
    <row r="65" spans="1:7" x14ac:dyDescent="0.3">
      <c r="A65" s="16" t="s">
        <v>126</v>
      </c>
      <c r="B65" s="16" t="s">
        <v>241</v>
      </c>
      <c r="C65" s="16" t="s">
        <v>25</v>
      </c>
      <c r="D65" s="16" t="s">
        <v>18</v>
      </c>
      <c r="E65" s="16" t="s">
        <v>51</v>
      </c>
      <c r="F65" s="16" t="s">
        <v>217</v>
      </c>
      <c r="G65" s="16" t="s">
        <v>204</v>
      </c>
    </row>
    <row r="66" spans="1:7" x14ac:dyDescent="0.3">
      <c r="A66" s="16" t="s">
        <v>127</v>
      </c>
      <c r="B66" s="16" t="s">
        <v>230</v>
      </c>
      <c r="C66" s="16" t="s">
        <v>25</v>
      </c>
      <c r="D66" s="16" t="s">
        <v>17</v>
      </c>
      <c r="E66" s="16" t="s">
        <v>46</v>
      </c>
      <c r="F66" s="16" t="s">
        <v>217</v>
      </c>
      <c r="G66" s="16" t="s">
        <v>204</v>
      </c>
    </row>
    <row r="67" spans="1:7" x14ac:dyDescent="0.3">
      <c r="A67" s="16" t="s">
        <v>128</v>
      </c>
      <c r="B67" s="16" t="s">
        <v>248</v>
      </c>
      <c r="C67" s="16" t="s">
        <v>25</v>
      </c>
      <c r="D67" s="16" t="s">
        <v>17</v>
      </c>
      <c r="E67" s="16" t="s">
        <v>51</v>
      </c>
      <c r="F67" s="16" t="s">
        <v>217</v>
      </c>
      <c r="G67" s="16" t="s">
        <v>204</v>
      </c>
    </row>
    <row r="68" spans="1:7" x14ac:dyDescent="0.3">
      <c r="A68" s="16" t="s">
        <v>129</v>
      </c>
      <c r="B68" s="16" t="s">
        <v>245</v>
      </c>
      <c r="C68" s="16" t="s">
        <v>25</v>
      </c>
      <c r="D68" s="16" t="s">
        <v>17</v>
      </c>
      <c r="E68" s="16" t="s">
        <v>46</v>
      </c>
      <c r="F68" s="16" t="s">
        <v>217</v>
      </c>
      <c r="G68" s="16" t="s">
        <v>204</v>
      </c>
    </row>
    <row r="69" spans="1:7" x14ac:dyDescent="0.3">
      <c r="A69" s="16" t="s">
        <v>130</v>
      </c>
      <c r="B69" s="16" t="s">
        <v>248</v>
      </c>
      <c r="C69" s="16" t="s">
        <v>25</v>
      </c>
      <c r="D69" s="16" t="s">
        <v>18</v>
      </c>
      <c r="E69" s="16" t="s">
        <v>51</v>
      </c>
      <c r="F69" s="16" t="s">
        <v>217</v>
      </c>
      <c r="G69" s="16" t="s">
        <v>204</v>
      </c>
    </row>
    <row r="70" spans="1:7" x14ac:dyDescent="0.3">
      <c r="A70" s="16" t="s">
        <v>131</v>
      </c>
      <c r="B70" s="16" t="s">
        <v>230</v>
      </c>
      <c r="C70" s="16" t="s">
        <v>25</v>
      </c>
      <c r="D70" s="16" t="s">
        <v>37</v>
      </c>
      <c r="E70" s="16" t="s">
        <v>46</v>
      </c>
      <c r="F70" s="16" t="s">
        <v>217</v>
      </c>
      <c r="G70" s="16" t="s">
        <v>197</v>
      </c>
    </row>
    <row r="71" spans="1:7" x14ac:dyDescent="0.3">
      <c r="A71" s="16" t="s">
        <v>132</v>
      </c>
      <c r="B71" s="16" t="s">
        <v>240</v>
      </c>
      <c r="C71" s="16" t="s">
        <v>25</v>
      </c>
      <c r="D71" s="16" t="s">
        <v>37</v>
      </c>
      <c r="E71" s="16" t="s">
        <v>46</v>
      </c>
      <c r="F71" s="16" t="s">
        <v>217</v>
      </c>
      <c r="G71" s="16" t="s">
        <v>197</v>
      </c>
    </row>
    <row r="72" spans="1:7" x14ac:dyDescent="0.3">
      <c r="A72" s="16" t="s">
        <v>133</v>
      </c>
      <c r="B72" s="16" t="s">
        <v>247</v>
      </c>
      <c r="C72" s="16" t="s">
        <v>25</v>
      </c>
      <c r="D72" s="16" t="s">
        <v>13</v>
      </c>
      <c r="E72" s="16" t="s">
        <v>51</v>
      </c>
      <c r="F72" s="16" t="s">
        <v>217</v>
      </c>
      <c r="G72" s="16" t="s">
        <v>197</v>
      </c>
    </row>
    <row r="73" spans="1:7" x14ac:dyDescent="0.3">
      <c r="A73" s="16" t="s">
        <v>134</v>
      </c>
      <c r="B73" s="16" t="s">
        <v>232</v>
      </c>
      <c r="C73" s="16" t="s">
        <v>25</v>
      </c>
      <c r="D73" s="16" t="s">
        <v>16</v>
      </c>
      <c r="E73" s="16" t="s">
        <v>51</v>
      </c>
      <c r="F73" s="16" t="s">
        <v>211</v>
      </c>
      <c r="G73" s="16" t="s">
        <v>194</v>
      </c>
    </row>
    <row r="74" spans="1:7" x14ac:dyDescent="0.3">
      <c r="A74" s="16" t="s">
        <v>135</v>
      </c>
      <c r="B74" s="16" t="s">
        <v>243</v>
      </c>
      <c r="C74" s="16" t="s">
        <v>25</v>
      </c>
      <c r="D74" s="16" t="s">
        <v>15</v>
      </c>
      <c r="E74" s="16" t="s">
        <v>51</v>
      </c>
      <c r="F74" s="16" t="s">
        <v>211</v>
      </c>
      <c r="G74" s="16" t="s">
        <v>203</v>
      </c>
    </row>
    <row r="75" spans="1:7" x14ac:dyDescent="0.3">
      <c r="A75" s="16" t="s">
        <v>136</v>
      </c>
      <c r="B75" s="16" t="s">
        <v>235</v>
      </c>
      <c r="C75" s="16" t="s">
        <v>25</v>
      </c>
      <c r="D75" s="16" t="s">
        <v>13</v>
      </c>
      <c r="E75" s="16" t="s">
        <v>51</v>
      </c>
      <c r="F75" s="16" t="s">
        <v>211</v>
      </c>
      <c r="G75" s="16" t="s">
        <v>203</v>
      </c>
    </row>
    <row r="76" spans="1:7" x14ac:dyDescent="0.3">
      <c r="A76" s="16" t="s">
        <v>137</v>
      </c>
      <c r="B76" s="16" t="s">
        <v>234</v>
      </c>
      <c r="C76" s="16" t="s">
        <v>25</v>
      </c>
      <c r="D76" s="16" t="s">
        <v>38</v>
      </c>
      <c r="E76" s="16" t="s">
        <v>51</v>
      </c>
      <c r="F76" s="16" t="s">
        <v>211</v>
      </c>
      <c r="G76" s="16" t="s">
        <v>194</v>
      </c>
    </row>
    <row r="77" spans="1:7" x14ac:dyDescent="0.3">
      <c r="A77" s="16" t="s">
        <v>138</v>
      </c>
      <c r="B77" s="16" t="s">
        <v>238</v>
      </c>
      <c r="C77" s="16" t="s">
        <v>25</v>
      </c>
      <c r="D77" s="16" t="s">
        <v>38</v>
      </c>
      <c r="E77" s="16" t="s">
        <v>51</v>
      </c>
      <c r="F77" s="16" t="s">
        <v>211</v>
      </c>
      <c r="G77" s="16" t="s">
        <v>198</v>
      </c>
    </row>
    <row r="78" spans="1:7" x14ac:dyDescent="0.3">
      <c r="A78" s="16" t="s">
        <v>139</v>
      </c>
      <c r="B78" s="16" t="s">
        <v>242</v>
      </c>
      <c r="C78" s="16" t="s">
        <v>25</v>
      </c>
      <c r="D78" s="16" t="s">
        <v>15</v>
      </c>
      <c r="E78" s="16" t="s">
        <v>51</v>
      </c>
      <c r="F78" s="16" t="s">
        <v>211</v>
      </c>
      <c r="G78" s="16" t="s">
        <v>203</v>
      </c>
    </row>
    <row r="79" spans="1:7" x14ac:dyDescent="0.3">
      <c r="A79" s="16" t="s">
        <v>140</v>
      </c>
      <c r="B79" s="16" t="s">
        <v>237</v>
      </c>
      <c r="C79" s="16" t="s">
        <v>25</v>
      </c>
      <c r="D79" s="16" t="s">
        <v>15</v>
      </c>
      <c r="E79" s="16" t="s">
        <v>51</v>
      </c>
      <c r="F79" s="16" t="s">
        <v>211</v>
      </c>
      <c r="G79" s="16" t="s">
        <v>203</v>
      </c>
    </row>
    <row r="80" spans="1:7" x14ac:dyDescent="0.3">
      <c r="A80" s="16" t="s">
        <v>141</v>
      </c>
      <c r="B80" s="16" t="s">
        <v>241</v>
      </c>
      <c r="C80" s="16" t="s">
        <v>25</v>
      </c>
      <c r="D80" s="16" t="s">
        <v>17</v>
      </c>
      <c r="E80" s="16" t="s">
        <v>51</v>
      </c>
      <c r="F80" s="16" t="s">
        <v>211</v>
      </c>
      <c r="G80" s="16" t="s">
        <v>203</v>
      </c>
    </row>
    <row r="81" spans="1:7" x14ac:dyDescent="0.3">
      <c r="A81" s="16" t="s">
        <v>142</v>
      </c>
      <c r="B81" s="16" t="s">
        <v>232</v>
      </c>
      <c r="C81" s="16" t="s">
        <v>25</v>
      </c>
      <c r="D81" s="16" t="s">
        <v>18</v>
      </c>
      <c r="E81" s="16" t="s">
        <v>51</v>
      </c>
      <c r="F81" s="16" t="s">
        <v>211</v>
      </c>
      <c r="G81" s="16" t="s">
        <v>198</v>
      </c>
    </row>
    <row r="82" spans="1:7" x14ac:dyDescent="0.3">
      <c r="A82" s="16" t="s">
        <v>143</v>
      </c>
      <c r="B82" s="16" t="s">
        <v>245</v>
      </c>
      <c r="C82" s="16" t="s">
        <v>25</v>
      </c>
      <c r="D82" s="16" t="s">
        <v>38</v>
      </c>
      <c r="E82" s="16" t="s">
        <v>51</v>
      </c>
      <c r="F82" s="16" t="s">
        <v>211</v>
      </c>
      <c r="G82" s="16" t="s">
        <v>194</v>
      </c>
    </row>
    <row r="83" spans="1:7" x14ac:dyDescent="0.3">
      <c r="A83" s="16" t="s">
        <v>144</v>
      </c>
      <c r="B83" s="16" t="s">
        <v>245</v>
      </c>
      <c r="C83" s="16" t="s">
        <v>25</v>
      </c>
      <c r="D83" s="16" t="s">
        <v>38</v>
      </c>
      <c r="E83" s="16" t="s">
        <v>51</v>
      </c>
      <c r="F83" s="16" t="s">
        <v>211</v>
      </c>
      <c r="G83" s="16" t="s">
        <v>198</v>
      </c>
    </row>
    <row r="84" spans="1:7" x14ac:dyDescent="0.3">
      <c r="A84" s="16" t="s">
        <v>145</v>
      </c>
      <c r="B84" s="16" t="s">
        <v>248</v>
      </c>
      <c r="C84" s="16" t="s">
        <v>25</v>
      </c>
      <c r="D84" s="16" t="s">
        <v>18</v>
      </c>
      <c r="E84" s="16" t="s">
        <v>51</v>
      </c>
      <c r="F84" s="16" t="s">
        <v>212</v>
      </c>
      <c r="G84" s="16" t="s">
        <v>203</v>
      </c>
    </row>
    <row r="85" spans="1:7" x14ac:dyDescent="0.3">
      <c r="A85" s="16" t="s">
        <v>146</v>
      </c>
      <c r="B85" s="16" t="s">
        <v>248</v>
      </c>
      <c r="C85" s="16" t="s">
        <v>25</v>
      </c>
      <c r="D85" s="16" t="s">
        <v>13</v>
      </c>
      <c r="E85" s="16" t="s">
        <v>51</v>
      </c>
      <c r="F85" s="16" t="s">
        <v>212</v>
      </c>
      <c r="G85" s="16" t="s">
        <v>194</v>
      </c>
    </row>
    <row r="86" spans="1:7" x14ac:dyDescent="0.3">
      <c r="A86" s="16" t="s">
        <v>147</v>
      </c>
      <c r="B86" s="16" t="s">
        <v>246</v>
      </c>
      <c r="C86" s="16" t="s">
        <v>25</v>
      </c>
      <c r="D86" s="16" t="s">
        <v>38</v>
      </c>
      <c r="E86" s="16" t="s">
        <v>51</v>
      </c>
      <c r="F86" s="16" t="s">
        <v>212</v>
      </c>
      <c r="G86" s="16" t="s">
        <v>194</v>
      </c>
    </row>
    <row r="87" spans="1:7" x14ac:dyDescent="0.3">
      <c r="A87" s="16" t="s">
        <v>148</v>
      </c>
      <c r="B87" s="16" t="s">
        <v>244</v>
      </c>
      <c r="C87" s="16" t="s">
        <v>25</v>
      </c>
      <c r="D87" s="16" t="s">
        <v>38</v>
      </c>
      <c r="E87" s="16" t="s">
        <v>51</v>
      </c>
      <c r="F87" s="16" t="s">
        <v>212</v>
      </c>
      <c r="G87" s="16" t="s">
        <v>194</v>
      </c>
    </row>
    <row r="88" spans="1:7" x14ac:dyDescent="0.3">
      <c r="A88" s="16" t="s">
        <v>149</v>
      </c>
      <c r="B88" s="16" t="s">
        <v>237</v>
      </c>
      <c r="C88" s="16" t="s">
        <v>25</v>
      </c>
      <c r="D88" s="16" t="s">
        <v>15</v>
      </c>
      <c r="E88" s="16" t="s">
        <v>51</v>
      </c>
      <c r="F88" s="16" t="s">
        <v>212</v>
      </c>
      <c r="G88" s="16" t="s">
        <v>198</v>
      </c>
    </row>
    <row r="89" spans="1:7" x14ac:dyDescent="0.3">
      <c r="A89" s="16" t="s">
        <v>150</v>
      </c>
      <c r="B89" s="16" t="s">
        <v>247</v>
      </c>
      <c r="C89" s="16" t="s">
        <v>25</v>
      </c>
      <c r="D89" s="16" t="s">
        <v>17</v>
      </c>
      <c r="E89" s="16" t="s">
        <v>51</v>
      </c>
      <c r="F89" s="16" t="s">
        <v>212</v>
      </c>
      <c r="G89" s="16" t="s">
        <v>198</v>
      </c>
    </row>
    <row r="90" spans="1:7" x14ac:dyDescent="0.3">
      <c r="A90" s="16" t="s">
        <v>151</v>
      </c>
      <c r="B90" s="16" t="s">
        <v>239</v>
      </c>
      <c r="C90" s="16" t="s">
        <v>25</v>
      </c>
      <c r="D90" s="16" t="s">
        <v>38</v>
      </c>
      <c r="E90" s="16" t="s">
        <v>51</v>
      </c>
      <c r="F90" s="16" t="s">
        <v>212</v>
      </c>
      <c r="G90" s="16" t="s">
        <v>198</v>
      </c>
    </row>
    <row r="91" spans="1:7" x14ac:dyDescent="0.3">
      <c r="A91" s="16" t="s">
        <v>152</v>
      </c>
      <c r="B91" s="16" t="s">
        <v>232</v>
      </c>
      <c r="C91" s="16" t="s">
        <v>25</v>
      </c>
      <c r="D91" s="16" t="s">
        <v>38</v>
      </c>
      <c r="E91" s="16" t="s">
        <v>51</v>
      </c>
      <c r="F91" s="16" t="s">
        <v>212</v>
      </c>
      <c r="G91" s="16" t="s">
        <v>198</v>
      </c>
    </row>
    <row r="92" spans="1:7" x14ac:dyDescent="0.3">
      <c r="A92" s="16" t="s">
        <v>153</v>
      </c>
      <c r="B92" s="16" t="s">
        <v>243</v>
      </c>
      <c r="C92" s="16" t="s">
        <v>25</v>
      </c>
      <c r="D92" s="16" t="s">
        <v>38</v>
      </c>
      <c r="E92" s="16" t="s">
        <v>51</v>
      </c>
      <c r="F92" s="16" t="s">
        <v>212</v>
      </c>
      <c r="G92" s="16" t="s">
        <v>194</v>
      </c>
    </row>
    <row r="93" spans="1:7" x14ac:dyDescent="0.3">
      <c r="A93" s="16" t="s">
        <v>154</v>
      </c>
      <c r="B93" s="16" t="s">
        <v>243</v>
      </c>
      <c r="C93" s="16" t="s">
        <v>25</v>
      </c>
      <c r="D93" s="16" t="s">
        <v>15</v>
      </c>
      <c r="E93" s="16" t="s">
        <v>51</v>
      </c>
      <c r="F93" s="16" t="s">
        <v>213</v>
      </c>
      <c r="G93" s="16" t="s">
        <v>200</v>
      </c>
    </row>
    <row r="94" spans="1:7" x14ac:dyDescent="0.3">
      <c r="A94" s="16" t="s">
        <v>155</v>
      </c>
      <c r="B94" s="16" t="s">
        <v>234</v>
      </c>
      <c r="C94" s="16" t="s">
        <v>25</v>
      </c>
      <c r="D94" s="16" t="s">
        <v>15</v>
      </c>
      <c r="E94" s="16" t="s">
        <v>46</v>
      </c>
      <c r="F94" s="16" t="s">
        <v>213</v>
      </c>
      <c r="G94" s="16" t="s">
        <v>200</v>
      </c>
    </row>
    <row r="95" spans="1:7" x14ac:dyDescent="0.3">
      <c r="A95" s="16" t="s">
        <v>156</v>
      </c>
      <c r="B95" s="16" t="s">
        <v>243</v>
      </c>
      <c r="C95" s="16" t="s">
        <v>25</v>
      </c>
      <c r="D95" s="16" t="s">
        <v>15</v>
      </c>
      <c r="E95" s="16" t="s">
        <v>51</v>
      </c>
      <c r="F95" s="16" t="s">
        <v>213</v>
      </c>
      <c r="G95" s="16" t="s">
        <v>200</v>
      </c>
    </row>
    <row r="96" spans="1:7" x14ac:dyDescent="0.3">
      <c r="A96" s="16" t="s">
        <v>157</v>
      </c>
      <c r="B96" s="16" t="s">
        <v>245</v>
      </c>
      <c r="C96" s="16" t="s">
        <v>25</v>
      </c>
      <c r="D96" s="16" t="s">
        <v>15</v>
      </c>
      <c r="E96" s="16" t="s">
        <v>51</v>
      </c>
      <c r="F96" s="16" t="s">
        <v>213</v>
      </c>
      <c r="G96" s="16" t="s">
        <v>200</v>
      </c>
    </row>
    <row r="97" spans="1:7" x14ac:dyDescent="0.3">
      <c r="A97" s="16" t="s">
        <v>158</v>
      </c>
      <c r="B97" s="16" t="s">
        <v>246</v>
      </c>
      <c r="C97" s="16" t="s">
        <v>25</v>
      </c>
      <c r="D97" s="16" t="s">
        <v>15</v>
      </c>
      <c r="E97" s="16" t="s">
        <v>51</v>
      </c>
      <c r="F97" s="16" t="s">
        <v>213</v>
      </c>
      <c r="G97" s="16" t="s">
        <v>200</v>
      </c>
    </row>
    <row r="98" spans="1:7" x14ac:dyDescent="0.3">
      <c r="A98" s="16" t="s">
        <v>159</v>
      </c>
      <c r="B98" s="16" t="s">
        <v>233</v>
      </c>
      <c r="C98" s="16" t="s">
        <v>25</v>
      </c>
      <c r="D98" s="16" t="s">
        <v>37</v>
      </c>
      <c r="E98" s="16" t="s">
        <v>51</v>
      </c>
      <c r="F98" s="16" t="s">
        <v>213</v>
      </c>
      <c r="G98" s="16" t="s">
        <v>203</v>
      </c>
    </row>
    <row r="99" spans="1:7" x14ac:dyDescent="0.3">
      <c r="A99" s="16" t="s">
        <v>160</v>
      </c>
      <c r="B99" s="16" t="s">
        <v>244</v>
      </c>
      <c r="C99" s="16" t="s">
        <v>25</v>
      </c>
      <c r="D99" s="16" t="s">
        <v>37</v>
      </c>
      <c r="E99" s="16" t="s">
        <v>57</v>
      </c>
      <c r="F99" s="16" t="s">
        <v>213</v>
      </c>
      <c r="G99" s="16" t="s">
        <v>203</v>
      </c>
    </row>
    <row r="100" spans="1:7" x14ac:dyDescent="0.3">
      <c r="A100" s="16" t="s">
        <v>161</v>
      </c>
      <c r="B100" s="16" t="s">
        <v>241</v>
      </c>
      <c r="C100" s="16" t="s">
        <v>25</v>
      </c>
      <c r="D100" s="16" t="s">
        <v>15</v>
      </c>
      <c r="E100" s="16" t="s">
        <v>51</v>
      </c>
      <c r="F100" s="16" t="s">
        <v>213</v>
      </c>
      <c r="G100" s="16" t="s">
        <v>200</v>
      </c>
    </row>
    <row r="101" spans="1:7" x14ac:dyDescent="0.3">
      <c r="A101" s="16" t="s">
        <v>162</v>
      </c>
      <c r="B101" s="16" t="s">
        <v>241</v>
      </c>
      <c r="C101" s="16" t="s">
        <v>25</v>
      </c>
      <c r="D101" s="16" t="s">
        <v>15</v>
      </c>
      <c r="E101" s="16" t="s">
        <v>51</v>
      </c>
      <c r="F101" s="16" t="s">
        <v>213</v>
      </c>
      <c r="G101" s="16" t="s">
        <v>200</v>
      </c>
    </row>
    <row r="102" spans="1:7" x14ac:dyDescent="0.3">
      <c r="A102" s="16" t="s">
        <v>163</v>
      </c>
      <c r="B102" s="16" t="s">
        <v>237</v>
      </c>
      <c r="C102" s="16" t="s">
        <v>25</v>
      </c>
      <c r="D102" s="16" t="s">
        <v>18</v>
      </c>
      <c r="E102" s="16" t="s">
        <v>51</v>
      </c>
      <c r="F102" s="16" t="s">
        <v>214</v>
      </c>
      <c r="G102" s="16" t="s">
        <v>202</v>
      </c>
    </row>
    <row r="103" spans="1:7" x14ac:dyDescent="0.3">
      <c r="A103" s="16" t="s">
        <v>164</v>
      </c>
      <c r="B103" s="16" t="s">
        <v>245</v>
      </c>
      <c r="C103" s="16" t="s">
        <v>25</v>
      </c>
      <c r="D103" s="16" t="s">
        <v>13</v>
      </c>
      <c r="E103" s="16" t="s">
        <v>51</v>
      </c>
      <c r="F103" s="16" t="s">
        <v>214</v>
      </c>
      <c r="G103" s="16" t="s">
        <v>202</v>
      </c>
    </row>
    <row r="104" spans="1:7" x14ac:dyDescent="0.3">
      <c r="A104" s="16" t="s">
        <v>165</v>
      </c>
      <c r="B104" s="16" t="s">
        <v>234</v>
      </c>
      <c r="C104" s="16" t="s">
        <v>25</v>
      </c>
      <c r="D104" s="16" t="s">
        <v>18</v>
      </c>
      <c r="E104" s="16" t="s">
        <v>51</v>
      </c>
      <c r="F104" s="16" t="s">
        <v>214</v>
      </c>
      <c r="G104" s="16" t="s">
        <v>202</v>
      </c>
    </row>
    <row r="105" spans="1:7" x14ac:dyDescent="0.3">
      <c r="A105" s="16" t="s">
        <v>166</v>
      </c>
      <c r="B105" s="16" t="s">
        <v>244</v>
      </c>
      <c r="C105" s="16" t="s">
        <v>25</v>
      </c>
      <c r="D105" s="16" t="s">
        <v>18</v>
      </c>
      <c r="E105" s="16" t="s">
        <v>51</v>
      </c>
      <c r="F105" s="16" t="s">
        <v>214</v>
      </c>
      <c r="G105" s="16" t="s">
        <v>202</v>
      </c>
    </row>
    <row r="106" spans="1:7" x14ac:dyDescent="0.3">
      <c r="A106" s="16" t="s">
        <v>167</v>
      </c>
      <c r="B106" s="16" t="s">
        <v>230</v>
      </c>
      <c r="C106" s="16" t="s">
        <v>25</v>
      </c>
      <c r="D106" s="16" t="s">
        <v>38</v>
      </c>
      <c r="E106" s="16" t="s">
        <v>51</v>
      </c>
      <c r="F106" s="16" t="s">
        <v>214</v>
      </c>
      <c r="G106" s="16" t="s">
        <v>202</v>
      </c>
    </row>
    <row r="107" spans="1:7" x14ac:dyDescent="0.3">
      <c r="A107" s="16" t="s">
        <v>168</v>
      </c>
      <c r="B107" s="16" t="s">
        <v>231</v>
      </c>
      <c r="C107" s="16" t="s">
        <v>25</v>
      </c>
      <c r="D107" s="16" t="s">
        <v>37</v>
      </c>
      <c r="E107" s="16" t="s">
        <v>46</v>
      </c>
      <c r="F107" s="16" t="s">
        <v>214</v>
      </c>
      <c r="G107" s="16" t="s">
        <v>199</v>
      </c>
    </row>
    <row r="108" spans="1:7" x14ac:dyDescent="0.3">
      <c r="A108" s="16" t="s">
        <v>169</v>
      </c>
      <c r="B108" s="16" t="s">
        <v>240</v>
      </c>
      <c r="C108" s="16" t="s">
        <v>25</v>
      </c>
      <c r="D108" s="16" t="s">
        <v>37</v>
      </c>
      <c r="E108" s="16" t="s">
        <v>46</v>
      </c>
      <c r="F108" s="16" t="s">
        <v>214</v>
      </c>
      <c r="G108" s="16" t="s">
        <v>199</v>
      </c>
    </row>
    <row r="109" spans="1:7" x14ac:dyDescent="0.3">
      <c r="A109" s="16" t="s">
        <v>170</v>
      </c>
      <c r="B109" s="16" t="s">
        <v>236</v>
      </c>
      <c r="C109" s="16" t="s">
        <v>25</v>
      </c>
      <c r="D109" s="16" t="s">
        <v>37</v>
      </c>
      <c r="E109" s="16" t="s">
        <v>46</v>
      </c>
      <c r="F109" s="16" t="s">
        <v>214</v>
      </c>
      <c r="G109" s="16" t="s">
        <v>199</v>
      </c>
    </row>
    <row r="110" spans="1:7" x14ac:dyDescent="0.3">
      <c r="A110" s="16" t="s">
        <v>171</v>
      </c>
      <c r="B110" s="16" t="s">
        <v>248</v>
      </c>
      <c r="C110" s="16" t="s">
        <v>25</v>
      </c>
      <c r="D110" s="16" t="s">
        <v>37</v>
      </c>
      <c r="E110" s="16" t="s">
        <v>46</v>
      </c>
      <c r="F110" s="16" t="s">
        <v>214</v>
      </c>
      <c r="G110" s="16" t="s">
        <v>199</v>
      </c>
    </row>
    <row r="111" spans="1:7" x14ac:dyDescent="0.3">
      <c r="A111" s="16" t="s">
        <v>172</v>
      </c>
      <c r="B111" s="16" t="s">
        <v>236</v>
      </c>
      <c r="C111" s="16" t="s">
        <v>25</v>
      </c>
      <c r="D111" s="16" t="s">
        <v>37</v>
      </c>
      <c r="E111" s="16" t="s">
        <v>46</v>
      </c>
      <c r="F111" s="16" t="s">
        <v>214</v>
      </c>
      <c r="G111" s="16" t="s">
        <v>199</v>
      </c>
    </row>
    <row r="112" spans="1:7" x14ac:dyDescent="0.3">
      <c r="A112" s="16" t="s">
        <v>173</v>
      </c>
      <c r="B112" s="16" t="s">
        <v>232</v>
      </c>
      <c r="C112" s="16" t="s">
        <v>25</v>
      </c>
      <c r="D112" s="16" t="s">
        <v>37</v>
      </c>
      <c r="E112" s="16" t="s">
        <v>46</v>
      </c>
      <c r="F112" s="16" t="s">
        <v>214</v>
      </c>
      <c r="G112" s="16" t="s">
        <v>199</v>
      </c>
    </row>
    <row r="113" spans="1:7" x14ac:dyDescent="0.3">
      <c r="A113" s="16" t="s">
        <v>174</v>
      </c>
      <c r="B113" s="16" t="s">
        <v>235</v>
      </c>
      <c r="C113" s="16" t="s">
        <v>25</v>
      </c>
      <c r="D113" s="16" t="s">
        <v>37</v>
      </c>
      <c r="E113" s="16" t="s">
        <v>46</v>
      </c>
      <c r="F113" s="16" t="s">
        <v>214</v>
      </c>
      <c r="G113" s="16" t="s">
        <v>199</v>
      </c>
    </row>
    <row r="114" spans="1:7" x14ac:dyDescent="0.3">
      <c r="A114" s="16" t="s">
        <v>175</v>
      </c>
      <c r="B114" s="16" t="s">
        <v>246</v>
      </c>
      <c r="C114" s="16" t="s">
        <v>25</v>
      </c>
      <c r="D114" s="16" t="s">
        <v>37</v>
      </c>
      <c r="E114" s="16" t="s">
        <v>46</v>
      </c>
      <c r="F114" s="16" t="s">
        <v>214</v>
      </c>
      <c r="G114" s="16" t="s">
        <v>199</v>
      </c>
    </row>
    <row r="115" spans="1:7" x14ac:dyDescent="0.3">
      <c r="A115" s="16" t="s">
        <v>176</v>
      </c>
      <c r="B115" s="16" t="s">
        <v>232</v>
      </c>
      <c r="C115" s="16" t="s">
        <v>25</v>
      </c>
      <c r="D115" s="16" t="s">
        <v>37</v>
      </c>
      <c r="E115" s="16" t="s">
        <v>46</v>
      </c>
      <c r="F115" s="16" t="s">
        <v>214</v>
      </c>
      <c r="G115" s="16" t="s">
        <v>199</v>
      </c>
    </row>
    <row r="116" spans="1:7" x14ac:dyDescent="0.3">
      <c r="A116" s="16" t="s">
        <v>177</v>
      </c>
      <c r="B116" s="16" t="s">
        <v>245</v>
      </c>
      <c r="C116" s="16" t="s">
        <v>25</v>
      </c>
      <c r="D116" s="16" t="s">
        <v>13</v>
      </c>
      <c r="E116" s="16" t="s">
        <v>51</v>
      </c>
      <c r="F116" s="16" t="s">
        <v>214</v>
      </c>
      <c r="G116" s="16" t="s">
        <v>202</v>
      </c>
    </row>
    <row r="117" spans="1:7" x14ac:dyDescent="0.3">
      <c r="A117" s="16" t="s">
        <v>178</v>
      </c>
      <c r="B117" s="16" t="s">
        <v>244</v>
      </c>
      <c r="C117" s="16" t="s">
        <v>25</v>
      </c>
      <c r="D117" s="16" t="s">
        <v>38</v>
      </c>
      <c r="E117" s="16" t="s">
        <v>51</v>
      </c>
      <c r="F117" s="16" t="s">
        <v>214</v>
      </c>
      <c r="G117" s="16" t="s">
        <v>202</v>
      </c>
    </row>
    <row r="118" spans="1:7" x14ac:dyDescent="0.3">
      <c r="A118" s="16" t="s">
        <v>179</v>
      </c>
      <c r="B118" s="16" t="s">
        <v>244</v>
      </c>
      <c r="C118" s="16" t="s">
        <v>25</v>
      </c>
      <c r="D118" s="16" t="s">
        <v>13</v>
      </c>
      <c r="E118" s="16" t="s">
        <v>51</v>
      </c>
      <c r="F118" s="16" t="s">
        <v>214</v>
      </c>
      <c r="G118" s="16" t="s">
        <v>202</v>
      </c>
    </row>
    <row r="119" spans="1:7" x14ac:dyDescent="0.3">
      <c r="A119" s="16" t="s">
        <v>180</v>
      </c>
      <c r="B119" s="16" t="s">
        <v>237</v>
      </c>
      <c r="C119" s="16" t="s">
        <v>25</v>
      </c>
      <c r="D119" s="16" t="s">
        <v>38</v>
      </c>
      <c r="E119" s="16" t="s">
        <v>51</v>
      </c>
      <c r="F119" s="16" t="s">
        <v>214</v>
      </c>
      <c r="G119" s="16" t="s">
        <v>202</v>
      </c>
    </row>
    <row r="120" spans="1:7" x14ac:dyDescent="0.3">
      <c r="A120" s="16" t="s">
        <v>181</v>
      </c>
      <c r="B120" s="16" t="s">
        <v>241</v>
      </c>
      <c r="C120" s="16" t="s">
        <v>25</v>
      </c>
      <c r="D120" s="16" t="s">
        <v>38</v>
      </c>
      <c r="E120" s="16" t="s">
        <v>51</v>
      </c>
      <c r="F120" s="16" t="s">
        <v>214</v>
      </c>
      <c r="G120" s="16" t="s">
        <v>202</v>
      </c>
    </row>
    <row r="121" spans="1:7" x14ac:dyDescent="0.3">
      <c r="A121" s="16" t="s">
        <v>182</v>
      </c>
      <c r="B121" s="16" t="s">
        <v>247</v>
      </c>
      <c r="C121" s="16" t="s">
        <v>25</v>
      </c>
      <c r="D121" s="16" t="s">
        <v>15</v>
      </c>
      <c r="E121" s="16" t="s">
        <v>51</v>
      </c>
      <c r="F121" s="16" t="s">
        <v>214</v>
      </c>
      <c r="G121" s="16" t="s">
        <v>202</v>
      </c>
    </row>
    <row r="122" spans="1:7" x14ac:dyDescent="0.3">
      <c r="A122" s="16" t="s">
        <v>183</v>
      </c>
      <c r="B122" s="16" t="s">
        <v>232</v>
      </c>
      <c r="C122" s="16" t="s">
        <v>25</v>
      </c>
      <c r="D122" s="16" t="s">
        <v>38</v>
      </c>
      <c r="E122" s="16" t="s">
        <v>51</v>
      </c>
      <c r="F122" s="16" t="s">
        <v>214</v>
      </c>
      <c r="G122" s="16" t="s">
        <v>202</v>
      </c>
    </row>
    <row r="123" spans="1:7" x14ac:dyDescent="0.3">
      <c r="A123" s="16" t="s">
        <v>184</v>
      </c>
      <c r="B123" s="16" t="s">
        <v>243</v>
      </c>
      <c r="C123" s="16" t="s">
        <v>25</v>
      </c>
      <c r="D123" s="16" t="s">
        <v>13</v>
      </c>
      <c r="E123" s="16" t="s">
        <v>46</v>
      </c>
      <c r="F123" s="16" t="s">
        <v>214</v>
      </c>
      <c r="G123" s="16" t="s">
        <v>202</v>
      </c>
    </row>
    <row r="124" spans="1:7" x14ac:dyDescent="0.3">
      <c r="A124" s="16" t="s">
        <v>185</v>
      </c>
      <c r="B124" s="16" t="s">
        <v>248</v>
      </c>
      <c r="C124" s="16" t="s">
        <v>25</v>
      </c>
      <c r="D124" s="16" t="s">
        <v>13</v>
      </c>
      <c r="E124" s="16" t="s">
        <v>51</v>
      </c>
      <c r="F124" s="16" t="s">
        <v>214</v>
      </c>
      <c r="G124" s="16" t="s">
        <v>202</v>
      </c>
    </row>
    <row r="125" spans="1:7" x14ac:dyDescent="0.3">
      <c r="A125" s="16" t="s">
        <v>21</v>
      </c>
    </row>
  </sheetData>
  <sheetProtection pivotTables="0"/>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3:A125"/>
  <sheetViews>
    <sheetView topLeftCell="A3" workbookViewId="0">
      <selection activeCell="A3" sqref="A3"/>
    </sheetView>
  </sheetViews>
  <sheetFormatPr defaultRowHeight="14.4" x14ac:dyDescent="0.3"/>
  <cols>
    <col min="1" max="1" width="29.21875" bestFit="1" customWidth="1"/>
    <col min="2" max="2" width="7.109375" bestFit="1" customWidth="1"/>
    <col min="3" max="4" width="48.109375" customWidth="1"/>
    <col min="5" max="5" width="14.6640625" bestFit="1" customWidth="1"/>
    <col min="7" max="7" width="10.88671875" bestFit="1" customWidth="1"/>
    <col min="8" max="8" width="14.6640625" bestFit="1" customWidth="1"/>
    <col min="9" max="9" width="14.33203125" bestFit="1" customWidth="1"/>
  </cols>
  <sheetData>
    <row r="3" spans="1:1" x14ac:dyDescent="0.3">
      <c r="A3" s="15" t="s">
        <v>20</v>
      </c>
    </row>
    <row r="4" spans="1:1" x14ac:dyDescent="0.3">
      <c r="A4" t="s">
        <v>65</v>
      </c>
    </row>
    <row r="5" spans="1:1" x14ac:dyDescent="0.3">
      <c r="A5" t="s">
        <v>66</v>
      </c>
    </row>
    <row r="6" spans="1:1" x14ac:dyDescent="0.3">
      <c r="A6" t="s">
        <v>67</v>
      </c>
    </row>
    <row r="7" spans="1:1" x14ac:dyDescent="0.3">
      <c r="A7" t="s">
        <v>68</v>
      </c>
    </row>
    <row r="8" spans="1:1" x14ac:dyDescent="0.3">
      <c r="A8" t="s">
        <v>69</v>
      </c>
    </row>
    <row r="9" spans="1:1" x14ac:dyDescent="0.3">
      <c r="A9" t="s">
        <v>70</v>
      </c>
    </row>
    <row r="10" spans="1:1" x14ac:dyDescent="0.3">
      <c r="A10" t="s">
        <v>71</v>
      </c>
    </row>
    <row r="11" spans="1:1" x14ac:dyDescent="0.3">
      <c r="A11" t="s">
        <v>72</v>
      </c>
    </row>
    <row r="12" spans="1:1" x14ac:dyDescent="0.3">
      <c r="A12" t="s">
        <v>73</v>
      </c>
    </row>
    <row r="13" spans="1:1" x14ac:dyDescent="0.3">
      <c r="A13" t="s">
        <v>74</v>
      </c>
    </row>
    <row r="14" spans="1:1" x14ac:dyDescent="0.3">
      <c r="A14" t="s">
        <v>75</v>
      </c>
    </row>
    <row r="15" spans="1:1" x14ac:dyDescent="0.3">
      <c r="A15" t="s">
        <v>76</v>
      </c>
    </row>
    <row r="16" spans="1:1" x14ac:dyDescent="0.3">
      <c r="A16" t="s">
        <v>77</v>
      </c>
    </row>
    <row r="17" spans="1:1" x14ac:dyDescent="0.3">
      <c r="A17" t="s">
        <v>78</v>
      </c>
    </row>
    <row r="18" spans="1:1" x14ac:dyDescent="0.3">
      <c r="A18" t="s">
        <v>79</v>
      </c>
    </row>
    <row r="19" spans="1:1" x14ac:dyDescent="0.3">
      <c r="A19" t="s">
        <v>80</v>
      </c>
    </row>
    <row r="20" spans="1:1" x14ac:dyDescent="0.3">
      <c r="A20" t="s">
        <v>81</v>
      </c>
    </row>
    <row r="21" spans="1:1" x14ac:dyDescent="0.3">
      <c r="A21" t="s">
        <v>82</v>
      </c>
    </row>
    <row r="22" spans="1:1" x14ac:dyDescent="0.3">
      <c r="A22" t="s">
        <v>83</v>
      </c>
    </row>
    <row r="23" spans="1:1" x14ac:dyDescent="0.3">
      <c r="A23" t="s">
        <v>84</v>
      </c>
    </row>
    <row r="24" spans="1:1" x14ac:dyDescent="0.3">
      <c r="A24" t="s">
        <v>85</v>
      </c>
    </row>
    <row r="25" spans="1:1" x14ac:dyDescent="0.3">
      <c r="A25" t="s">
        <v>86</v>
      </c>
    </row>
    <row r="26" spans="1:1" x14ac:dyDescent="0.3">
      <c r="A26" t="s">
        <v>87</v>
      </c>
    </row>
    <row r="27" spans="1:1" x14ac:dyDescent="0.3">
      <c r="A27" t="s">
        <v>88</v>
      </c>
    </row>
    <row r="28" spans="1:1" x14ac:dyDescent="0.3">
      <c r="A28" t="s">
        <v>89</v>
      </c>
    </row>
    <row r="29" spans="1:1" x14ac:dyDescent="0.3">
      <c r="A29" t="s">
        <v>90</v>
      </c>
    </row>
    <row r="30" spans="1:1" x14ac:dyDescent="0.3">
      <c r="A30" t="s">
        <v>91</v>
      </c>
    </row>
    <row r="31" spans="1:1" x14ac:dyDescent="0.3">
      <c r="A31" t="s">
        <v>92</v>
      </c>
    </row>
    <row r="32" spans="1:1" x14ac:dyDescent="0.3">
      <c r="A32" t="s">
        <v>93</v>
      </c>
    </row>
    <row r="33" spans="1:1" x14ac:dyDescent="0.3">
      <c r="A33" t="s">
        <v>94</v>
      </c>
    </row>
    <row r="34" spans="1:1" x14ac:dyDescent="0.3">
      <c r="A34" t="s">
        <v>95</v>
      </c>
    </row>
    <row r="35" spans="1:1" x14ac:dyDescent="0.3">
      <c r="A35" t="s">
        <v>96</v>
      </c>
    </row>
    <row r="36" spans="1:1" x14ac:dyDescent="0.3">
      <c r="A36" t="s">
        <v>97</v>
      </c>
    </row>
    <row r="37" spans="1:1" x14ac:dyDescent="0.3">
      <c r="A37" t="s">
        <v>98</v>
      </c>
    </row>
    <row r="38" spans="1:1" x14ac:dyDescent="0.3">
      <c r="A38" t="s">
        <v>99</v>
      </c>
    </row>
    <row r="39" spans="1:1" x14ac:dyDescent="0.3">
      <c r="A39" t="s">
        <v>100</v>
      </c>
    </row>
    <row r="40" spans="1:1" x14ac:dyDescent="0.3">
      <c r="A40" t="s">
        <v>101</v>
      </c>
    </row>
    <row r="41" spans="1:1" x14ac:dyDescent="0.3">
      <c r="A41" t="s">
        <v>102</v>
      </c>
    </row>
    <row r="42" spans="1:1" x14ac:dyDescent="0.3">
      <c r="A42" t="s">
        <v>103</v>
      </c>
    </row>
    <row r="43" spans="1:1" x14ac:dyDescent="0.3">
      <c r="A43" t="s">
        <v>104</v>
      </c>
    </row>
    <row r="44" spans="1:1" x14ac:dyDescent="0.3">
      <c r="A44" t="s">
        <v>105</v>
      </c>
    </row>
    <row r="45" spans="1:1" x14ac:dyDescent="0.3">
      <c r="A45" t="s">
        <v>106</v>
      </c>
    </row>
    <row r="46" spans="1:1" x14ac:dyDescent="0.3">
      <c r="A46" t="s">
        <v>107</v>
      </c>
    </row>
    <row r="47" spans="1:1" x14ac:dyDescent="0.3">
      <c r="A47" t="s">
        <v>108</v>
      </c>
    </row>
    <row r="48" spans="1:1" x14ac:dyDescent="0.3">
      <c r="A48" t="s">
        <v>109</v>
      </c>
    </row>
    <row r="49" spans="1:1" x14ac:dyDescent="0.3">
      <c r="A49" t="s">
        <v>110</v>
      </c>
    </row>
    <row r="50" spans="1:1" x14ac:dyDescent="0.3">
      <c r="A50" t="s">
        <v>111</v>
      </c>
    </row>
    <row r="51" spans="1:1" x14ac:dyDescent="0.3">
      <c r="A51" t="s">
        <v>112</v>
      </c>
    </row>
    <row r="52" spans="1:1" x14ac:dyDescent="0.3">
      <c r="A52" t="s">
        <v>113</v>
      </c>
    </row>
    <row r="53" spans="1:1" x14ac:dyDescent="0.3">
      <c r="A53" t="s">
        <v>114</v>
      </c>
    </row>
    <row r="54" spans="1:1" x14ac:dyDescent="0.3">
      <c r="A54" t="s">
        <v>115</v>
      </c>
    </row>
    <row r="55" spans="1:1" x14ac:dyDescent="0.3">
      <c r="A55" t="s">
        <v>116</v>
      </c>
    </row>
    <row r="56" spans="1:1" x14ac:dyDescent="0.3">
      <c r="A56" t="s">
        <v>117</v>
      </c>
    </row>
    <row r="57" spans="1:1" x14ac:dyDescent="0.3">
      <c r="A57" t="s">
        <v>118</v>
      </c>
    </row>
    <row r="58" spans="1:1" x14ac:dyDescent="0.3">
      <c r="A58" t="s">
        <v>119</v>
      </c>
    </row>
    <row r="59" spans="1:1" x14ac:dyDescent="0.3">
      <c r="A59" t="s">
        <v>120</v>
      </c>
    </row>
    <row r="60" spans="1:1" x14ac:dyDescent="0.3">
      <c r="A60" t="s">
        <v>121</v>
      </c>
    </row>
    <row r="61" spans="1:1" x14ac:dyDescent="0.3">
      <c r="A61" t="s">
        <v>122</v>
      </c>
    </row>
    <row r="62" spans="1:1" x14ac:dyDescent="0.3">
      <c r="A62" t="s">
        <v>123</v>
      </c>
    </row>
    <row r="63" spans="1:1" x14ac:dyDescent="0.3">
      <c r="A63" t="s">
        <v>124</v>
      </c>
    </row>
    <row r="64" spans="1:1" x14ac:dyDescent="0.3">
      <c r="A64" t="s">
        <v>125</v>
      </c>
    </row>
    <row r="65" spans="1:1" x14ac:dyDescent="0.3">
      <c r="A65" t="s">
        <v>126</v>
      </c>
    </row>
    <row r="66" spans="1:1" x14ac:dyDescent="0.3">
      <c r="A66" t="s">
        <v>127</v>
      </c>
    </row>
    <row r="67" spans="1:1" x14ac:dyDescent="0.3">
      <c r="A67" t="s">
        <v>128</v>
      </c>
    </row>
    <row r="68" spans="1:1" x14ac:dyDescent="0.3">
      <c r="A68" t="s">
        <v>129</v>
      </c>
    </row>
    <row r="69" spans="1:1" x14ac:dyDescent="0.3">
      <c r="A69" t="s">
        <v>130</v>
      </c>
    </row>
    <row r="70" spans="1:1" x14ac:dyDescent="0.3">
      <c r="A70" t="s">
        <v>131</v>
      </c>
    </row>
    <row r="71" spans="1:1" x14ac:dyDescent="0.3">
      <c r="A71" t="s">
        <v>132</v>
      </c>
    </row>
    <row r="72" spans="1:1" x14ac:dyDescent="0.3">
      <c r="A72" t="s">
        <v>133</v>
      </c>
    </row>
    <row r="73" spans="1:1" x14ac:dyDescent="0.3">
      <c r="A73" t="s">
        <v>134</v>
      </c>
    </row>
    <row r="74" spans="1:1" x14ac:dyDescent="0.3">
      <c r="A74" t="s">
        <v>135</v>
      </c>
    </row>
    <row r="75" spans="1:1" x14ac:dyDescent="0.3">
      <c r="A75" t="s">
        <v>136</v>
      </c>
    </row>
    <row r="76" spans="1:1" x14ac:dyDescent="0.3">
      <c r="A76" t="s">
        <v>137</v>
      </c>
    </row>
    <row r="77" spans="1:1" x14ac:dyDescent="0.3">
      <c r="A77" t="s">
        <v>138</v>
      </c>
    </row>
    <row r="78" spans="1:1" x14ac:dyDescent="0.3">
      <c r="A78" t="s">
        <v>139</v>
      </c>
    </row>
    <row r="79" spans="1:1" x14ac:dyDescent="0.3">
      <c r="A79" t="s">
        <v>140</v>
      </c>
    </row>
    <row r="80" spans="1:1" x14ac:dyDescent="0.3">
      <c r="A80" t="s">
        <v>141</v>
      </c>
    </row>
    <row r="81" spans="1:1" x14ac:dyDescent="0.3">
      <c r="A81" t="s">
        <v>142</v>
      </c>
    </row>
    <row r="82" spans="1:1" x14ac:dyDescent="0.3">
      <c r="A82" t="s">
        <v>143</v>
      </c>
    </row>
    <row r="83" spans="1:1" x14ac:dyDescent="0.3">
      <c r="A83" t="s">
        <v>144</v>
      </c>
    </row>
    <row r="84" spans="1:1" x14ac:dyDescent="0.3">
      <c r="A84" t="s">
        <v>145</v>
      </c>
    </row>
    <row r="85" spans="1:1" x14ac:dyDescent="0.3">
      <c r="A85" t="s">
        <v>146</v>
      </c>
    </row>
    <row r="86" spans="1:1" x14ac:dyDescent="0.3">
      <c r="A86" t="s">
        <v>147</v>
      </c>
    </row>
    <row r="87" spans="1:1" x14ac:dyDescent="0.3">
      <c r="A87" t="s">
        <v>148</v>
      </c>
    </row>
    <row r="88" spans="1:1" x14ac:dyDescent="0.3">
      <c r="A88" t="s">
        <v>149</v>
      </c>
    </row>
    <row r="89" spans="1:1" x14ac:dyDescent="0.3">
      <c r="A89" t="s">
        <v>150</v>
      </c>
    </row>
    <row r="90" spans="1:1" x14ac:dyDescent="0.3">
      <c r="A90" t="s">
        <v>151</v>
      </c>
    </row>
    <row r="91" spans="1:1" x14ac:dyDescent="0.3">
      <c r="A91" t="s">
        <v>152</v>
      </c>
    </row>
    <row r="92" spans="1:1" x14ac:dyDescent="0.3">
      <c r="A92" t="s">
        <v>153</v>
      </c>
    </row>
    <row r="93" spans="1:1" x14ac:dyDescent="0.3">
      <c r="A93" t="s">
        <v>154</v>
      </c>
    </row>
    <row r="94" spans="1:1" x14ac:dyDescent="0.3">
      <c r="A94" t="s">
        <v>155</v>
      </c>
    </row>
    <row r="95" spans="1:1" x14ac:dyDescent="0.3">
      <c r="A95" t="s">
        <v>156</v>
      </c>
    </row>
    <row r="96" spans="1:1" x14ac:dyDescent="0.3">
      <c r="A96" t="s">
        <v>157</v>
      </c>
    </row>
    <row r="97" spans="1:1" x14ac:dyDescent="0.3">
      <c r="A97" t="s">
        <v>158</v>
      </c>
    </row>
    <row r="98" spans="1:1" x14ac:dyDescent="0.3">
      <c r="A98" t="s">
        <v>159</v>
      </c>
    </row>
    <row r="99" spans="1:1" x14ac:dyDescent="0.3">
      <c r="A99" t="s">
        <v>160</v>
      </c>
    </row>
    <row r="100" spans="1:1" x14ac:dyDescent="0.3">
      <c r="A100" t="s">
        <v>161</v>
      </c>
    </row>
    <row r="101" spans="1:1" x14ac:dyDescent="0.3">
      <c r="A101" t="s">
        <v>162</v>
      </c>
    </row>
    <row r="102" spans="1:1" x14ac:dyDescent="0.3">
      <c r="A102" t="s">
        <v>163</v>
      </c>
    </row>
    <row r="103" spans="1:1" x14ac:dyDescent="0.3">
      <c r="A103" t="s">
        <v>164</v>
      </c>
    </row>
    <row r="104" spans="1:1" x14ac:dyDescent="0.3">
      <c r="A104" t="s">
        <v>165</v>
      </c>
    </row>
    <row r="105" spans="1:1" x14ac:dyDescent="0.3">
      <c r="A105" t="s">
        <v>166</v>
      </c>
    </row>
    <row r="106" spans="1:1" x14ac:dyDescent="0.3">
      <c r="A106" t="s">
        <v>167</v>
      </c>
    </row>
    <row r="107" spans="1:1" x14ac:dyDescent="0.3">
      <c r="A107" t="s">
        <v>168</v>
      </c>
    </row>
    <row r="108" spans="1:1" x14ac:dyDescent="0.3">
      <c r="A108" t="s">
        <v>169</v>
      </c>
    </row>
    <row r="109" spans="1:1" x14ac:dyDescent="0.3">
      <c r="A109" t="s">
        <v>170</v>
      </c>
    </row>
    <row r="110" spans="1:1" x14ac:dyDescent="0.3">
      <c r="A110" t="s">
        <v>171</v>
      </c>
    </row>
    <row r="111" spans="1:1" x14ac:dyDescent="0.3">
      <c r="A111" t="s">
        <v>172</v>
      </c>
    </row>
    <row r="112" spans="1:1" x14ac:dyDescent="0.3">
      <c r="A112" t="s">
        <v>173</v>
      </c>
    </row>
    <row r="113" spans="1:1" x14ac:dyDescent="0.3">
      <c r="A113" t="s">
        <v>174</v>
      </c>
    </row>
    <row r="114" spans="1:1" x14ac:dyDescent="0.3">
      <c r="A114" t="s">
        <v>175</v>
      </c>
    </row>
    <row r="115" spans="1:1" x14ac:dyDescent="0.3">
      <c r="A115" t="s">
        <v>176</v>
      </c>
    </row>
    <row r="116" spans="1:1" x14ac:dyDescent="0.3">
      <c r="A116" t="s">
        <v>177</v>
      </c>
    </row>
    <row r="117" spans="1:1" x14ac:dyDescent="0.3">
      <c r="A117" t="s">
        <v>178</v>
      </c>
    </row>
    <row r="118" spans="1:1" x14ac:dyDescent="0.3">
      <c r="A118" t="s">
        <v>179</v>
      </c>
    </row>
    <row r="119" spans="1:1" x14ac:dyDescent="0.3">
      <c r="A119" t="s">
        <v>180</v>
      </c>
    </row>
    <row r="120" spans="1:1" x14ac:dyDescent="0.3">
      <c r="A120" t="s">
        <v>181</v>
      </c>
    </row>
    <row r="121" spans="1:1" x14ac:dyDescent="0.3">
      <c r="A121" t="s">
        <v>182</v>
      </c>
    </row>
    <row r="122" spans="1:1" x14ac:dyDescent="0.3">
      <c r="A122" t="s">
        <v>183</v>
      </c>
    </row>
    <row r="123" spans="1:1" x14ac:dyDescent="0.3">
      <c r="A123" t="s">
        <v>184</v>
      </c>
    </row>
    <row r="124" spans="1:1" x14ac:dyDescent="0.3">
      <c r="A124" t="s">
        <v>185</v>
      </c>
    </row>
    <row r="125" spans="1:1" x14ac:dyDescent="0.3">
      <c r="A125" t="s">
        <v>21</v>
      </c>
    </row>
  </sheetData>
  <sheetProtection pivotTable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01bb296-0d98-48f5-82b2-21a8b7c6a628">
      <Terms xmlns="http://schemas.microsoft.com/office/infopath/2007/PartnerControls"/>
    </lcf76f155ced4ddcb4097134ff3c332f>
    <TaxCatchAll xmlns="49ea8abe-7191-4b65-81fe-8a87d6e49bbe" xsi:nil="true"/>
    <SharedWithUsers xmlns="49ea8abe-7191-4b65-81fe-8a87d6e49bbe">
      <UserInfo>
        <DisplayName>Jitendra Rawat</DisplayName>
        <AccountId>19</AccountId>
        <AccountType/>
      </UserInfo>
      <UserInfo>
        <DisplayName>Ashtad Batliwala</DisplayName>
        <AccountId>33</AccountId>
        <AccountType/>
      </UserInfo>
    </SharedWithUser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02B51C0F44C990458329E8DAFD3FDD8C" ma:contentTypeVersion="17" ma:contentTypeDescription="Create a new document." ma:contentTypeScope="" ma:versionID="2b075e62e03fcd06cf7544a45e9282b1">
  <xsd:schema xmlns:xsd="http://www.w3.org/2001/XMLSchema" xmlns:xs="http://www.w3.org/2001/XMLSchema" xmlns:p="http://schemas.microsoft.com/office/2006/metadata/properties" xmlns:ns2="c01bb296-0d98-48f5-82b2-21a8b7c6a628" xmlns:ns3="49ea8abe-7191-4b65-81fe-8a87d6e49bbe" targetNamespace="http://schemas.microsoft.com/office/2006/metadata/properties" ma:root="true" ma:fieldsID="c7cd63f4d4e54d9e90e314c1a1a11827" ns2:_="" ns3:_="">
    <xsd:import namespace="c01bb296-0d98-48f5-82b2-21a8b7c6a628"/>
    <xsd:import namespace="49ea8abe-7191-4b65-81fe-8a87d6e49bb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1bb296-0d98-48f5-82b2-21a8b7c6a62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85111b7-b065-4047-b571-4c154ed4e9b4"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49ea8abe-7191-4b65-81fe-8a87d6e49bb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d7add862-c5ed-4af3-b89f-14f03fc02e1d}" ma:internalName="TaxCatchAll" ma:showField="CatchAllData" ma:web="49ea8abe-7191-4b65-81fe-8a87d6e49bb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C85C82-6135-450C-850F-275A890AA522}">
  <ds:schemaRefs>
    <ds:schemaRef ds:uri="http://schemas.microsoft.com/office/2006/documentManagement/types"/>
    <ds:schemaRef ds:uri="http://purl.org/dc/dcmitype/"/>
    <ds:schemaRef ds:uri="c01bb296-0d98-48f5-82b2-21a8b7c6a628"/>
    <ds:schemaRef ds:uri="http://purl.org/dc/terms/"/>
    <ds:schemaRef ds:uri="http://www.w3.org/XML/1998/namespace"/>
    <ds:schemaRef ds:uri="http://schemas.microsoft.com/office/2006/metadata/properties"/>
    <ds:schemaRef ds:uri="http://schemas.openxmlformats.org/package/2006/metadata/core-properties"/>
    <ds:schemaRef ds:uri="http://purl.org/dc/elements/1.1/"/>
    <ds:schemaRef ds:uri="49ea8abe-7191-4b65-81fe-8a87d6e49bbe"/>
    <ds:schemaRef ds:uri="http://schemas.microsoft.com/office/infopath/2007/PartnerControls"/>
  </ds:schemaRefs>
</ds:datastoreItem>
</file>

<file path=customXml/itemProps2.xml><?xml version="1.0" encoding="utf-8"?>
<ds:datastoreItem xmlns:ds="http://schemas.openxmlformats.org/officeDocument/2006/customXml" ds:itemID="{B7B3136E-35C0-4D25-A1D0-FD4F939C6BE2}">
  <ds:schemaRefs>
    <ds:schemaRef ds:uri="http://schemas.microsoft.com/DataMashup"/>
  </ds:schemaRefs>
</ds:datastoreItem>
</file>

<file path=customXml/itemProps3.xml><?xml version="1.0" encoding="utf-8"?>
<ds:datastoreItem xmlns:ds="http://schemas.openxmlformats.org/officeDocument/2006/customXml" ds:itemID="{58A5D7FD-12BA-4D8E-9A03-E07F16AE7D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1bb296-0d98-48f5-82b2-21a8b7c6a628"/>
    <ds:schemaRef ds:uri="49ea8abe-7191-4b65-81fe-8a87d6e49b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FA3341-9059-4B18-A0D3-78415AC023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Dashboard</vt:lpstr>
      <vt:lpstr>Consolidated</vt:lpstr>
      <vt:lpstr>Report (Partner)</vt:lpstr>
      <vt:lpstr>'Report (Partner)'!Print_Area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Klick</dc:creator>
  <cp:keywords/>
  <dc:description/>
  <cp:lastModifiedBy>Admin</cp:lastModifiedBy>
  <cp:revision/>
  <cp:lastPrinted>2022-12-27T11:06:57Z</cp:lastPrinted>
  <dcterms:created xsi:type="dcterms:W3CDTF">2015-06-05T18:17:20Z</dcterms:created>
  <dcterms:modified xsi:type="dcterms:W3CDTF">2022-12-28T11:10:13Z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0x01010002B51C0F44C990458329E8DAFD3FDD8C</vt:lpwstr>
  </property>
  <property fmtid="{D5CDD505-2E9C-101B-9397-08002B2CF9AE}" pid="3" name="MediaServiceImageTags">
    <vt:lpwstr/>
  </property>
</Properties>
</file>